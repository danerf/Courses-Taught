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er\OneDrive\Documents\Excel Class\"/>
    </mc:Choice>
  </mc:AlternateContent>
  <xr:revisionPtr revIDLastSave="0" documentId="13_ncr:1_{2A8F6A65-622F-4C61-8095-43C00D92443F}" xr6:coauthVersionLast="47" xr6:coauthVersionMax="47" xr10:uidLastSave="{00000000-0000-0000-0000-000000000000}"/>
  <bookViews>
    <workbookView xWindow="-108" yWindow="-108" windowWidth="23256" windowHeight="12576" tabRatio="920" firstSheet="11" activeTab="14" xr2:uid="{00000000-000D-0000-FFFF-FFFF00000000}"/>
  </bookViews>
  <sheets>
    <sheet name="Level 1" sheetId="1" state="hidden" r:id="rId1"/>
    <sheet name="Level 2B" sheetId="2" state="hidden" r:id="rId2"/>
    <sheet name="Level 2A" sheetId="36" state="hidden" r:id="rId3"/>
    <sheet name="Level 3" sheetId="3" state="hidden" r:id="rId4"/>
    <sheet name="Level 4" sheetId="4" state="hidden" r:id="rId5"/>
    <sheet name="Level 5B" sheetId="26" state="hidden" r:id="rId6"/>
    <sheet name="Level 6B" sheetId="31" state="hidden" r:id="rId7"/>
    <sheet name="Level 7A" sheetId="28" state="hidden" r:id="rId8"/>
    <sheet name="Level 7B" sheetId="33" state="hidden" r:id="rId9"/>
    <sheet name="Level 8" sheetId="29" state="hidden" r:id="rId10"/>
    <sheet name="Transcript Level 8" sheetId="35" state="hidden" r:id="rId11"/>
    <sheet name="Data" sheetId="11" r:id="rId12"/>
    <sheet name="Students" sheetId="8" state="hidden" r:id="rId13"/>
    <sheet name="Sheet1" sheetId="34" state="hidden" r:id="rId14"/>
    <sheet name="Summary" sheetId="10" r:id="rId15"/>
    <sheet name="Emails" sheetId="37" state="hidden" r:id="rId16"/>
  </sheets>
  <externalReferences>
    <externalReference r:id="rId17"/>
  </externalReferences>
  <definedNames>
    <definedName name="Admissions_List">'[1]Admission List'!$D$4:$BK$749</definedName>
    <definedName name="_xlnm.Print_Area" localSheetId="0">'Level 1'!$A$1:$K$25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0" l="1"/>
  <c r="K25" i="36" l="1"/>
  <c r="K24" i="36"/>
  <c r="K23" i="36"/>
  <c r="K22" i="36"/>
  <c r="K21" i="36"/>
  <c r="K20" i="36"/>
  <c r="K19" i="36"/>
  <c r="K18" i="36"/>
  <c r="K17" i="36"/>
  <c r="K16" i="36"/>
  <c r="K15" i="36"/>
  <c r="K14" i="36"/>
  <c r="K13" i="36"/>
  <c r="K12" i="36"/>
  <c r="K11" i="36"/>
  <c r="K10" i="36"/>
  <c r="K9" i="36"/>
  <c r="K8" i="36"/>
  <c r="K7" i="36"/>
  <c r="K6" i="36"/>
  <c r="K5" i="36"/>
  <c r="B14" i="35"/>
  <c r="B13" i="35"/>
  <c r="B12" i="35"/>
  <c r="B11" i="35"/>
  <c r="B10" i="35"/>
  <c r="B9" i="35"/>
  <c r="B8" i="35"/>
  <c r="B3" i="35"/>
  <c r="B1" i="35"/>
  <c r="K17" i="1"/>
  <c r="K18" i="1"/>
  <c r="K19" i="1"/>
  <c r="K20" i="1"/>
  <c r="K21" i="1"/>
  <c r="K22" i="1"/>
  <c r="K23" i="1"/>
  <c r="K26" i="4"/>
  <c r="K27" i="4"/>
  <c r="K28" i="4"/>
  <c r="K6" i="26"/>
  <c r="K7" i="26"/>
  <c r="K8" i="26"/>
  <c r="K9" i="26"/>
  <c r="K10" i="26"/>
  <c r="K11" i="26"/>
  <c r="K12" i="26"/>
  <c r="K13" i="26"/>
  <c r="K14" i="26"/>
  <c r="K15" i="26"/>
  <c r="K16" i="26"/>
  <c r="K17" i="26"/>
  <c r="K18" i="26"/>
  <c r="K19" i="26"/>
  <c r="K20" i="26"/>
  <c r="K21" i="26"/>
  <c r="K22" i="26"/>
  <c r="K23" i="26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5" i="28"/>
  <c r="K6" i="33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5" i="33"/>
  <c r="K25" i="29"/>
  <c r="K21" i="2"/>
  <c r="K22" i="2"/>
  <c r="K23" i="2"/>
  <c r="K24" i="2"/>
  <c r="K25" i="2"/>
  <c r="K17" i="2"/>
  <c r="K18" i="2"/>
  <c r="K19" i="2"/>
  <c r="K20" i="2"/>
  <c r="K19" i="4"/>
  <c r="K20" i="4"/>
  <c r="K21" i="4"/>
  <c r="K22" i="4"/>
  <c r="K23" i="4"/>
  <c r="K24" i="4"/>
  <c r="K25" i="4"/>
  <c r="K5" i="31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5" i="29"/>
  <c r="B15" i="35"/>
  <c r="K6" i="1"/>
  <c r="K7" i="1"/>
  <c r="K8" i="1"/>
  <c r="K9" i="1"/>
  <c r="K10" i="1"/>
  <c r="K11" i="1"/>
  <c r="K12" i="1"/>
  <c r="K13" i="1"/>
  <c r="K14" i="1"/>
  <c r="K15" i="1"/>
  <c r="K16" i="1"/>
  <c r="K6" i="2"/>
  <c r="K7" i="2"/>
  <c r="K8" i="2"/>
  <c r="K9" i="2"/>
  <c r="K10" i="2"/>
  <c r="K11" i="2"/>
  <c r="K12" i="2"/>
  <c r="K13" i="2"/>
  <c r="K14" i="2"/>
  <c r="K15" i="2"/>
  <c r="K16" i="2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5" i="26"/>
  <c r="K5" i="4"/>
  <c r="K5" i="3"/>
  <c r="K5" i="2"/>
  <c r="K5" i="1"/>
</calcChain>
</file>

<file path=xl/sharedStrings.xml><?xml version="1.0" encoding="utf-8"?>
<sst xmlns="http://schemas.openxmlformats.org/spreadsheetml/2006/main" count="3519" uniqueCount="2631">
  <si>
    <t>ELI</t>
  </si>
  <si>
    <t>Semester:</t>
  </si>
  <si>
    <t>Student #</t>
  </si>
  <si>
    <t>Name</t>
  </si>
  <si>
    <t>Final Grade</t>
  </si>
  <si>
    <t>Dezheen Mohammed Ahmed</t>
  </si>
  <si>
    <t>A11500018</t>
  </si>
  <si>
    <t>A21600099</t>
  </si>
  <si>
    <t>A21500115</t>
  </si>
  <si>
    <t>A11500011</t>
  </si>
  <si>
    <t>Ziyad Saeed Mohammed</t>
  </si>
  <si>
    <t>A11500014</t>
  </si>
  <si>
    <t>Hadar Taher Ahmed</t>
  </si>
  <si>
    <t>A11500023</t>
  </si>
  <si>
    <t>Haliz Mohammed Salih Yousif</t>
  </si>
  <si>
    <t>A11500026</t>
  </si>
  <si>
    <t>A11500031</t>
  </si>
  <si>
    <t>Mohammed Saleem Salih M. Saleem</t>
  </si>
  <si>
    <t>A21500120</t>
  </si>
  <si>
    <t>Zana Jalal Salih</t>
  </si>
  <si>
    <t>A21600067</t>
  </si>
  <si>
    <t>A21600097</t>
  </si>
  <si>
    <t>A11500019</t>
  </si>
  <si>
    <t>Goraz Halgord Ridha</t>
  </si>
  <si>
    <t>A21500106</t>
  </si>
  <si>
    <t>Zilan Mohammed Hussein</t>
  </si>
  <si>
    <t>A21600105</t>
  </si>
  <si>
    <t>A11500017</t>
  </si>
  <si>
    <t>Mohammed Fareeq Mohammed Saleem</t>
  </si>
  <si>
    <t>A21500039</t>
  </si>
  <si>
    <t>A21500055</t>
  </si>
  <si>
    <t>Haji Ghazi Ali</t>
  </si>
  <si>
    <t>A21500038</t>
  </si>
  <si>
    <t>Omar Mohammed Haji</t>
  </si>
  <si>
    <t>A11500002</t>
  </si>
  <si>
    <t>Nazdar Faris Taher</t>
  </si>
  <si>
    <t>A21500063</t>
  </si>
  <si>
    <t>Gulizar Ahmed Abdullah</t>
  </si>
  <si>
    <t>A21500068</t>
  </si>
  <si>
    <t>Nawzad Zaki Mustafa</t>
  </si>
  <si>
    <t>A21500005</t>
  </si>
  <si>
    <t>Alan Izadeen Pirmos</t>
  </si>
  <si>
    <t>A21500069</t>
  </si>
  <si>
    <t>Barzan Hasan Abdullah</t>
  </si>
  <si>
    <t>A21500024</t>
  </si>
  <si>
    <t>Kovan Fadhil Omar</t>
  </si>
  <si>
    <t>A21500126</t>
  </si>
  <si>
    <t>Soad Abdulqader Mam</t>
  </si>
  <si>
    <t>A21500040</t>
  </si>
  <si>
    <t>Barzan Ghazi Mohamed Salih</t>
  </si>
  <si>
    <t>A21500111</t>
  </si>
  <si>
    <t>Aileen Giorgees Ishaq</t>
  </si>
  <si>
    <t>A21500025</t>
  </si>
  <si>
    <t>Tanya Deedar Khaleel</t>
  </si>
  <si>
    <t>A21500027</t>
  </si>
  <si>
    <t>Kavin Shawkat Taha</t>
  </si>
  <si>
    <t>A21500014</t>
  </si>
  <si>
    <t>Pery Sarwar Arif</t>
  </si>
  <si>
    <t>A21500021</t>
  </si>
  <si>
    <t>Bland Habeeb Sulaiman</t>
  </si>
  <si>
    <t>A21500017</t>
  </si>
  <si>
    <t>Sileen Ali Hasan</t>
  </si>
  <si>
    <t>A21500026</t>
  </si>
  <si>
    <t>Ahmed Ramzi Abdulrahman</t>
  </si>
  <si>
    <t>A21500074</t>
  </si>
  <si>
    <t>A21500030</t>
  </si>
  <si>
    <t>Shireen Ismael Ahmed</t>
  </si>
  <si>
    <t>A21500056</t>
  </si>
  <si>
    <t>Level 5B</t>
  </si>
  <si>
    <t>A21500072</t>
  </si>
  <si>
    <t>Nihad Abdullah Ali</t>
  </si>
  <si>
    <t>A21500076</t>
  </si>
  <si>
    <t>Karzan Akram Salih</t>
  </si>
  <si>
    <t>A21500101</t>
  </si>
  <si>
    <t>Van Faiz Mikhael</t>
  </si>
  <si>
    <t>A21500123</t>
  </si>
  <si>
    <t>Heji Ihsan Abdullah</t>
  </si>
  <si>
    <t>A21500070</t>
  </si>
  <si>
    <t>Amad Mushir Muhammad</t>
  </si>
  <si>
    <t>A21500064</t>
  </si>
  <si>
    <t>Roj Salah Hasan</t>
  </si>
  <si>
    <t>A21500006</t>
  </si>
  <si>
    <t>Heleen Ali Hasan</t>
  </si>
  <si>
    <t>A21500129</t>
  </si>
  <si>
    <t>A21500125</t>
  </si>
  <si>
    <t>A21500108</t>
  </si>
  <si>
    <t>A21500029</t>
  </si>
  <si>
    <t>A21500066</t>
  </si>
  <si>
    <t>A11500015</t>
  </si>
  <si>
    <t>A21600069</t>
  </si>
  <si>
    <t>A21600045</t>
  </si>
  <si>
    <t>A21600036</t>
  </si>
  <si>
    <t>A21600034</t>
  </si>
  <si>
    <t>A21600098</t>
  </si>
  <si>
    <t>A21600079</t>
  </si>
  <si>
    <t>A21600080</t>
  </si>
  <si>
    <t>A21600106</t>
  </si>
  <si>
    <t>A21600095</t>
  </si>
  <si>
    <t>A21600057</t>
  </si>
  <si>
    <t>A21600046</t>
  </si>
  <si>
    <t>A21600107</t>
  </si>
  <si>
    <t>Student Name:</t>
  </si>
  <si>
    <t>Student ID:</t>
  </si>
  <si>
    <t>Email:</t>
  </si>
  <si>
    <t>Mark</t>
  </si>
  <si>
    <t>Speaking</t>
  </si>
  <si>
    <t>Total</t>
  </si>
  <si>
    <t>Total Marks of 70 or higher are passing</t>
  </si>
  <si>
    <t>A21600076</t>
  </si>
  <si>
    <t>A21600042</t>
  </si>
  <si>
    <t>A21600062</t>
  </si>
  <si>
    <t>A21600135</t>
  </si>
  <si>
    <t>A21600133</t>
  </si>
  <si>
    <t>A21600134</t>
  </si>
  <si>
    <t>A21600071</t>
  </si>
  <si>
    <t>A21600050</t>
  </si>
  <si>
    <t>A21600072</t>
  </si>
  <si>
    <t>A21600082</t>
  </si>
  <si>
    <t>A21600086</t>
  </si>
  <si>
    <t>A21600063</t>
  </si>
  <si>
    <t>A21600154</t>
  </si>
  <si>
    <t>A21600153</t>
  </si>
  <si>
    <t>A21600131</t>
  </si>
  <si>
    <t>A21600035</t>
  </si>
  <si>
    <t>A21600073</t>
  </si>
  <si>
    <t>A21600113</t>
  </si>
  <si>
    <t>A21600142</t>
  </si>
  <si>
    <t>A21600044</t>
  </si>
  <si>
    <t>A21600064</t>
  </si>
  <si>
    <t>A21600094</t>
  </si>
  <si>
    <t>A21600041</t>
  </si>
  <si>
    <t>A21600053</t>
  </si>
  <si>
    <t>A21600060</t>
  </si>
  <si>
    <t>A21600048</t>
  </si>
  <si>
    <t>A21600087</t>
  </si>
  <si>
    <t>A21600096</t>
  </si>
  <si>
    <t>Butan Sdqee Shuker</t>
  </si>
  <si>
    <t>Berevan Farhad Mohammed</t>
  </si>
  <si>
    <t>A21600213</t>
  </si>
  <si>
    <t>A21600136</t>
  </si>
  <si>
    <t>A21600226</t>
  </si>
  <si>
    <t>A21600194</t>
  </si>
  <si>
    <t>A21600235</t>
  </si>
  <si>
    <t>A21600055</t>
  </si>
  <si>
    <t>A21600204</t>
  </si>
  <si>
    <t>A21600199</t>
  </si>
  <si>
    <t>A21600234</t>
  </si>
  <si>
    <t>A21600070</t>
  </si>
  <si>
    <t>A21600189</t>
  </si>
  <si>
    <t>A21600049</t>
  </si>
  <si>
    <t>A21600085</t>
  </si>
  <si>
    <t>A21600059</t>
  </si>
  <si>
    <t>A21600227</t>
  </si>
  <si>
    <t>A21600126</t>
  </si>
  <si>
    <t>A21600231</t>
  </si>
  <si>
    <t>Listening</t>
  </si>
  <si>
    <t>Reading</t>
  </si>
  <si>
    <t>General</t>
  </si>
  <si>
    <t>Exam Writing (out of 15)</t>
  </si>
  <si>
    <t>Teacher Assessment (out of 5)</t>
  </si>
  <si>
    <t>Reading (out of 10)</t>
  </si>
  <si>
    <t>General (out of 80)</t>
  </si>
  <si>
    <t>Reading (out of 6)</t>
  </si>
  <si>
    <t>General (out of 100)</t>
  </si>
  <si>
    <t>A21500079</t>
  </si>
  <si>
    <t>A21600058</t>
  </si>
  <si>
    <t>A21600102</t>
  </si>
  <si>
    <t>A21600160</t>
  </si>
  <si>
    <t>A21600175</t>
  </si>
  <si>
    <t>A21600179</t>
  </si>
  <si>
    <t>A21600186</t>
  </si>
  <si>
    <t>A21600187</t>
  </si>
  <si>
    <t>A21600192</t>
  </si>
  <si>
    <t>A21600198</t>
  </si>
  <si>
    <t>A21600208</t>
  </si>
  <si>
    <t>A21600215</t>
  </si>
  <si>
    <t>A21700241</t>
  </si>
  <si>
    <t>Speaking (out of 10)</t>
  </si>
  <si>
    <t>Level 1</t>
  </si>
  <si>
    <t>Exam Writing (out of 5)</t>
  </si>
  <si>
    <t>Hevi Yousif Mahmood</t>
  </si>
  <si>
    <t>Jivan Jamal Haji</t>
  </si>
  <si>
    <t>Khabat Kurdi Hameed</t>
  </si>
  <si>
    <t>Karwan Azeedin Taha</t>
  </si>
  <si>
    <t>Agiree Abdulkhlq Abdusalam</t>
  </si>
  <si>
    <t>Shaheed Bishar Ahmed</t>
  </si>
  <si>
    <t>Furat Kayfullah Tayar</t>
  </si>
  <si>
    <t>Mohammed Ismat Dino</t>
  </si>
  <si>
    <t>Shaker Qasim Mohammed</t>
  </si>
  <si>
    <t>Viyan Hasan Omar</t>
  </si>
  <si>
    <t>Mohammed Abdulrahman M.Ali</t>
  </si>
  <si>
    <t>Bahzad Ismael Hussein</t>
  </si>
  <si>
    <t>Mivan Taher Haji</t>
  </si>
  <si>
    <t>Hussein Ahmed Mohammed</t>
  </si>
  <si>
    <t>Ahmad Hishyar Ali</t>
  </si>
  <si>
    <t>Diyar Siaband Abbas</t>
  </si>
  <si>
    <t>Sagvan Ahmed Abdullah</t>
  </si>
  <si>
    <t>Aseel Ali Hussein</t>
  </si>
  <si>
    <t>Sarhad Saeed Mala Abd</t>
  </si>
  <si>
    <t>Hasan Mohammed Taher Kareem</t>
  </si>
  <si>
    <t>Diler Sabah Omar</t>
  </si>
  <si>
    <t>Rayan Badal Sulaiman</t>
  </si>
  <si>
    <t>Khuzi Younis Omar</t>
  </si>
  <si>
    <t>Ayad Ahmed Muslih</t>
  </si>
  <si>
    <t>Wafaa Ahmed Hassan</t>
  </si>
  <si>
    <t>Israa Dlofan Obaidellah</t>
  </si>
  <si>
    <t>Omer Ismael Ahmed</t>
  </si>
  <si>
    <t>Bland Dilshad Diwali</t>
  </si>
  <si>
    <t>Ayaz Salah Khalil</t>
  </si>
  <si>
    <t>Tavreen Salman Shaban</t>
  </si>
  <si>
    <t>Zanyar Sidqi Mohammed</t>
  </si>
  <si>
    <t>Sharmin Jafar Ismael</t>
  </si>
  <si>
    <t>Rojeen Jafar Ismael</t>
  </si>
  <si>
    <t>Hendreen Omar Yaseen</t>
  </si>
  <si>
    <t>Zhiyan Yousif Abdullah</t>
  </si>
  <si>
    <t>Azad Sami Abdullah Nacheem</t>
  </si>
  <si>
    <t>Karoj Salam Mohammad</t>
  </si>
  <si>
    <t>Sagvan Mohammed Taher</t>
  </si>
  <si>
    <t>Dezheen Foad MohammedSalih</t>
  </si>
  <si>
    <t>Shahlan Haydar MohammedTaher</t>
  </si>
  <si>
    <t>Broosh Saadoun Amin</t>
  </si>
  <si>
    <t>Ahmed Essmat Mohammed</t>
  </si>
  <si>
    <t>Rozh Natheer Mohammed</t>
  </si>
  <si>
    <t>Mahmood Shawkat Mohammed</t>
  </si>
  <si>
    <t>Mohammed Daldar Arif</t>
  </si>
  <si>
    <t>Hogir Hassan Mohammed</t>
  </si>
  <si>
    <t>Huzni Mohammed Ali</t>
  </si>
  <si>
    <t>Ashraf Shaker Salim</t>
  </si>
  <si>
    <t>Khalida Abdo Naser</t>
  </si>
  <si>
    <t>Araz Nabi Saleem</t>
  </si>
  <si>
    <t>Novin Abdulazeez Waisi</t>
  </si>
  <si>
    <t>Rozheen Hikmat Abdulazeez</t>
  </si>
  <si>
    <t>Sarhan Ibrahim Khishman</t>
  </si>
  <si>
    <t>Hazrin Safaree Babakr</t>
  </si>
  <si>
    <t>Omed Fadhil Islam</t>
  </si>
  <si>
    <t>Masoud Ali Abo</t>
  </si>
  <si>
    <t>Valia Jamal Yaqo</t>
  </si>
  <si>
    <t>Darvan Azat Fatah</t>
  </si>
  <si>
    <t>Shivan Hameed Mohammed</t>
  </si>
  <si>
    <t>Sarbast Fawzi M.Saleem</t>
  </si>
  <si>
    <t>Omran Ahmed Khaled</t>
  </si>
  <si>
    <t>Mohammed Hameed Majeed</t>
  </si>
  <si>
    <t>Loreen Mazien Mohammed</t>
  </si>
  <si>
    <t>Aya Radhwan Hazim</t>
  </si>
  <si>
    <t>Mand Kawa Sami</t>
  </si>
  <si>
    <t>Hemin Nouri Salih</t>
  </si>
  <si>
    <t>Yasa Masood Saleem</t>
  </si>
  <si>
    <t>Noran Ribar Ismael</t>
  </si>
  <si>
    <t>Badal Khaleel Ali</t>
  </si>
  <si>
    <t>Kiman Yousef Omer</t>
  </si>
  <si>
    <t>Aram Ramadhan Afdal</t>
  </si>
  <si>
    <t>Level 8</t>
  </si>
  <si>
    <t>Teacher Assessment (out of 10)</t>
  </si>
  <si>
    <t>Text Analysis (out of 5)</t>
  </si>
  <si>
    <t>Class Story (out of 15)</t>
  </si>
  <si>
    <t>Writing (out of 5)</t>
  </si>
  <si>
    <t>Listening (out of 10)</t>
  </si>
  <si>
    <t>Listening (out of 13)</t>
  </si>
  <si>
    <t>Listening (out of 7)</t>
  </si>
  <si>
    <t>Level 6B</t>
  </si>
  <si>
    <t>Hiner Ridha Zubair</t>
  </si>
  <si>
    <t>Tiroj Kamal Hassan</t>
  </si>
  <si>
    <t>Bayar Shukri Saleem</t>
  </si>
  <si>
    <t>Kareem Habib Ahmed</t>
  </si>
  <si>
    <t>Level 2</t>
  </si>
  <si>
    <t>Alnd Musa Morad</t>
  </si>
  <si>
    <t>Zaid Musheer Najman</t>
  </si>
  <si>
    <t>Chalang Nabi Saleem</t>
  </si>
  <si>
    <t>A11700257</t>
  </si>
  <si>
    <t>Laween Hazim Ata</t>
  </si>
  <si>
    <t>A11700258</t>
  </si>
  <si>
    <t>Hariwan Faisal Saleem</t>
  </si>
  <si>
    <t>A11700259</t>
  </si>
  <si>
    <t>Harwan Faisal Saleem</t>
  </si>
  <si>
    <t>A21700263</t>
  </si>
  <si>
    <t>A21700267</t>
  </si>
  <si>
    <t>Mahmood Faisal Ramadhan</t>
  </si>
  <si>
    <t>Karwan Hezbi Younis</t>
  </si>
  <si>
    <t>A21600233</t>
  </si>
  <si>
    <t>A21700247</t>
  </si>
  <si>
    <t>Sawsan Hameed Muhammed</t>
  </si>
  <si>
    <t>A21700245</t>
  </si>
  <si>
    <t>Karam Fawzi Naef</t>
  </si>
  <si>
    <t>A11700262</t>
  </si>
  <si>
    <t>Ari Farhad Mohammed</t>
  </si>
  <si>
    <t>Shireen Subhi M.Saeed</t>
  </si>
  <si>
    <t>A21700243</t>
  </si>
  <si>
    <t>Aidin Haji Saleem</t>
  </si>
  <si>
    <t>A21700264</t>
  </si>
  <si>
    <t>Fadi Rasim Hurmiz</t>
  </si>
  <si>
    <t>A21600141</t>
  </si>
  <si>
    <t>A21700250</t>
  </si>
  <si>
    <t>Barzan Hikmat Ramadhan</t>
  </si>
  <si>
    <t>A21600196</t>
  </si>
  <si>
    <t>A21600203</t>
  </si>
  <si>
    <t>Ayas Yousif Fattah</t>
  </si>
  <si>
    <t>Mohammed Mosa Haji</t>
  </si>
  <si>
    <t>A21700246</t>
  </si>
  <si>
    <t>Mohammed Anees Khalid</t>
  </si>
  <si>
    <t>A21600129</t>
  </si>
  <si>
    <t>A21700265</t>
  </si>
  <si>
    <t>Vin Jamal Mohammed</t>
  </si>
  <si>
    <t>A21600152</t>
  </si>
  <si>
    <t>A11700260</t>
  </si>
  <si>
    <t>Dolovan Nechirvan Ramadhan</t>
  </si>
  <si>
    <t>Mawa Khalid Hussein</t>
  </si>
  <si>
    <t>A21600109</t>
  </si>
  <si>
    <t>A21600122</t>
  </si>
  <si>
    <t>A21600139</t>
  </si>
  <si>
    <t>A21600148</t>
  </si>
  <si>
    <t>Jagger Rafeq Fatah</t>
  </si>
  <si>
    <t>A21700253</t>
  </si>
  <si>
    <t>Imad Baderkhan YousIf</t>
  </si>
  <si>
    <t>A21700255</t>
  </si>
  <si>
    <t>Kamiran Shaker Salim</t>
  </si>
  <si>
    <t>A21600115</t>
  </si>
  <si>
    <t>A11700256</t>
  </si>
  <si>
    <t>Dunya Baez Kareem</t>
  </si>
  <si>
    <t>Alend Azeez Mahmood</t>
  </si>
  <si>
    <t>A11700261</t>
  </si>
  <si>
    <t>Natalie Alec Zaya</t>
  </si>
  <si>
    <t>Fall 2016</t>
  </si>
  <si>
    <t>A21600161</t>
  </si>
  <si>
    <t>Jehat Incin Safer</t>
  </si>
  <si>
    <t>A21700297</t>
  </si>
  <si>
    <t>A21700319</t>
  </si>
  <si>
    <t>Ayleen Bextiyar Mohammed</t>
  </si>
  <si>
    <t>A21700307</t>
  </si>
  <si>
    <t>Halat Abdulmanaf Mohammed</t>
  </si>
  <si>
    <t>A21700306</t>
  </si>
  <si>
    <t>Mardin Abdulmanaf Mohammed</t>
  </si>
  <si>
    <t>A21700289</t>
  </si>
  <si>
    <t>Rawin Abduljabar Amin</t>
  </si>
  <si>
    <t>A21700278</t>
  </si>
  <si>
    <t>Sarbast Fareed Mohammed</t>
  </si>
  <si>
    <t>A21700277</t>
  </si>
  <si>
    <t>Sarwan Sagvan Osman</t>
  </si>
  <si>
    <t>A21700313</t>
  </si>
  <si>
    <t>A21700305</t>
  </si>
  <si>
    <t>A21700290</t>
  </si>
  <si>
    <t>Zeravan Adnan Housin</t>
  </si>
  <si>
    <t>A21700316</t>
  </si>
  <si>
    <t>A21700299</t>
  </si>
  <si>
    <t>A21700318</t>
  </si>
  <si>
    <t>A21700323</t>
  </si>
  <si>
    <t>Nor Fanar Ibrahim</t>
  </si>
  <si>
    <t>A21700274</t>
  </si>
  <si>
    <t>Welat Salih Mohammed</t>
  </si>
  <si>
    <t>A21700321</t>
  </si>
  <si>
    <t>A21700320</t>
  </si>
  <si>
    <t>A21700322</t>
  </si>
  <si>
    <t>A21700271</t>
  </si>
  <si>
    <t>Rondik Sherwan Ahmed</t>
  </si>
  <si>
    <t>A21700310</t>
  </si>
  <si>
    <t>Khider Basam Khider</t>
  </si>
  <si>
    <t>A21700308</t>
  </si>
  <si>
    <t>A21700288</t>
  </si>
  <si>
    <t>A21700284</t>
  </si>
  <si>
    <t>Mohammed Farhad Khorsheed</t>
  </si>
  <si>
    <t>A21700285</t>
  </si>
  <si>
    <t>A21700302</t>
  </si>
  <si>
    <t>Mohammed Sabri Ahmed</t>
  </si>
  <si>
    <t>A21600171</t>
  </si>
  <si>
    <t>Nijirvan Adil Yousif</t>
  </si>
  <si>
    <t>A21700309</t>
  </si>
  <si>
    <t>Murad Ramadhan Shukri</t>
  </si>
  <si>
    <t>A21700237</t>
  </si>
  <si>
    <t>Barzan Abdulhadi Mustafa</t>
  </si>
  <si>
    <t>A21700317</t>
  </si>
  <si>
    <t>Alind Hazim Ali</t>
  </si>
  <si>
    <t>A21600084</t>
  </si>
  <si>
    <t>A21500010</t>
  </si>
  <si>
    <t>Halgir Zirak Taher</t>
  </si>
  <si>
    <t>A21700292</t>
  </si>
  <si>
    <t>Sozan Sakvan Osman</t>
  </si>
  <si>
    <t>A21700248</t>
  </si>
  <si>
    <t>Shileer Mohammed Hussein</t>
  </si>
  <si>
    <t>A21600112</t>
  </si>
  <si>
    <t>Zeravan Lazkin Salman</t>
  </si>
  <si>
    <t>A21700295</t>
  </si>
  <si>
    <t>A21700311</t>
  </si>
  <si>
    <t>A21700270</t>
  </si>
  <si>
    <t>A21600212</t>
  </si>
  <si>
    <t>Nizar MohammedSalih Yousif</t>
  </si>
  <si>
    <t>A21600166</t>
  </si>
  <si>
    <t>Hizhyan Ibrahim Mohammed</t>
  </si>
  <si>
    <t>A21700283</t>
  </si>
  <si>
    <t>A21700282</t>
  </si>
  <si>
    <t>A21700303</t>
  </si>
  <si>
    <t>A21700294</t>
  </si>
  <si>
    <t>Mohammed Mashhood Amin</t>
  </si>
  <si>
    <t>A21700254</t>
  </si>
  <si>
    <t>Ibrahim Fawzi Hasan</t>
  </si>
  <si>
    <t>A21700300</t>
  </si>
  <si>
    <t>A21700287</t>
  </si>
  <si>
    <t>Hussein Araz Kak Ahmed</t>
  </si>
  <si>
    <t>A21700236</t>
  </si>
  <si>
    <t>Zhiyar Sanaan Abdulrahman</t>
  </si>
  <si>
    <t>A21600188</t>
  </si>
  <si>
    <t>Ahmed Kamaran Mohammed</t>
  </si>
  <si>
    <t>Level 4</t>
  </si>
  <si>
    <t>A21500104</t>
  </si>
  <si>
    <t>Diyar Salman Hassan</t>
  </si>
  <si>
    <t>A21600190</t>
  </si>
  <si>
    <t>Araz Kawa Mahmood</t>
  </si>
  <si>
    <t>A21700298</t>
  </si>
  <si>
    <t>Ramin Nazhat Hali</t>
  </si>
  <si>
    <t>A21600047</t>
  </si>
  <si>
    <t>Diyana Mohammed Hussein</t>
  </si>
  <si>
    <t>A21600155</t>
  </si>
  <si>
    <t>Neroj Dalshad Abdulhameed</t>
  </si>
  <si>
    <t>A21600145</t>
  </si>
  <si>
    <t>Kazheen Dawod Ramadhan</t>
  </si>
  <si>
    <t>A21700275</t>
  </si>
  <si>
    <t>Bekas Shawkat Tayib</t>
  </si>
  <si>
    <t>A21600123</t>
  </si>
  <si>
    <t>Zeen Sarbast Diwali</t>
  </si>
  <si>
    <t>A21700315</t>
  </si>
  <si>
    <t>A21600132</t>
  </si>
  <si>
    <t>Ahmed Adil Abdulqadir</t>
  </si>
  <si>
    <t>A21700293</t>
  </si>
  <si>
    <t>Ahmed Fakhri Mustafa</t>
  </si>
  <si>
    <t>A21700296</t>
  </si>
  <si>
    <t>Ali Sarbast Ali</t>
  </si>
  <si>
    <t>Isho James Kiwarkis</t>
  </si>
  <si>
    <t>A21700280</t>
  </si>
  <si>
    <t>Sermed Omran Barzani</t>
  </si>
  <si>
    <t>A21600117</t>
  </si>
  <si>
    <t>A21500082</t>
  </si>
  <si>
    <t>Mohammed Ali Mohammed</t>
  </si>
  <si>
    <t>A21500050</t>
  </si>
  <si>
    <t>Alan Mohammed Taher</t>
  </si>
  <si>
    <t>A21500008</t>
  </si>
  <si>
    <t>Hamza Khalid Abdulkareem</t>
  </si>
  <si>
    <t>A21500003</t>
  </si>
  <si>
    <t>Vager Sami Ibrahim</t>
  </si>
  <si>
    <t>A21600052</t>
  </si>
  <si>
    <t>Amena Dalshad Abdulhameed</t>
  </si>
  <si>
    <t>A21500116</t>
  </si>
  <si>
    <t>Rani Ali Hussein</t>
  </si>
  <si>
    <t>A21600104</t>
  </si>
  <si>
    <t>Jowan Ayad Al-deen Sheekh Mosa</t>
  </si>
  <si>
    <t>Level 7A</t>
  </si>
  <si>
    <t>A11500004</t>
  </si>
  <si>
    <t>Karzan Kamal Mohammed</t>
  </si>
  <si>
    <t>A21500130</t>
  </si>
  <si>
    <t>Kasoz Khairy Yazdeen</t>
  </si>
  <si>
    <t>A21500124</t>
  </si>
  <si>
    <t>Mohammed Salah Zaidan</t>
  </si>
  <si>
    <t>A11500006</t>
  </si>
  <si>
    <t>Amenah Ahmed Mustafa</t>
  </si>
  <si>
    <t>A21500065</t>
  </si>
  <si>
    <t>Fadya Akram Abdulwahid</t>
  </si>
  <si>
    <t>A21600061</t>
  </si>
  <si>
    <t>Saad Sabhan Mohammed Salih</t>
  </si>
  <si>
    <t>A21500086</t>
  </si>
  <si>
    <t>Hamza Qasim Abdulrahman</t>
  </si>
  <si>
    <t>A21600103</t>
  </si>
  <si>
    <t>Juhan Ayad Al-deen Sheekh Mosa</t>
  </si>
  <si>
    <t>A21500061</t>
  </si>
  <si>
    <t>Saif Salam Khider</t>
  </si>
  <si>
    <t>A21600083</t>
  </si>
  <si>
    <t>Halah Abdulhameed Ali</t>
  </si>
  <si>
    <t>Listening (out of 6)</t>
  </si>
  <si>
    <t>Level 7B</t>
  </si>
  <si>
    <t>Level 3</t>
  </si>
  <si>
    <t>Email</t>
  </si>
  <si>
    <t>A21500031</t>
  </si>
  <si>
    <t>A21500033</t>
  </si>
  <si>
    <t>A21500067</t>
  </si>
  <si>
    <t>A21500118</t>
  </si>
  <si>
    <t>A21500096</t>
  </si>
  <si>
    <t>A21500034</t>
  </si>
  <si>
    <t>A21500097</t>
  </si>
  <si>
    <t>A21500058</t>
  </si>
  <si>
    <t>A21500128</t>
  </si>
  <si>
    <t>A21500085</t>
  </si>
  <si>
    <t>A21500045</t>
  </si>
  <si>
    <t>A21500043</t>
  </si>
  <si>
    <t>A21500105</t>
  </si>
  <si>
    <t>A21500088</t>
  </si>
  <si>
    <t>A21500127</t>
  </si>
  <si>
    <t>A21500109</t>
  </si>
  <si>
    <t>A21500071</t>
  </si>
  <si>
    <t>A21500107</t>
  </si>
  <si>
    <t>A21500035</t>
  </si>
  <si>
    <t>A21500080</t>
  </si>
  <si>
    <t>A21500036</t>
  </si>
  <si>
    <t>A21500004</t>
  </si>
  <si>
    <t>A21500019</t>
  </si>
  <si>
    <t>A21500047</t>
  </si>
  <si>
    <t>A21500089</t>
  </si>
  <si>
    <t>A21500018</t>
  </si>
  <si>
    <t>A21500122</t>
  </si>
  <si>
    <t>A21500042</t>
  </si>
  <si>
    <t>A21500094</t>
  </si>
  <si>
    <t>A21500078</t>
  </si>
  <si>
    <t>A21500112</t>
  </si>
  <si>
    <t>A21500113</t>
  </si>
  <si>
    <t>A21500084</t>
  </si>
  <si>
    <t>A21500022</t>
  </si>
  <si>
    <t>A21500009</t>
  </si>
  <si>
    <t>A21500091</t>
  </si>
  <si>
    <t>A21500037</t>
  </si>
  <si>
    <t>A21500081</t>
  </si>
  <si>
    <t>A21500060</t>
  </si>
  <si>
    <t>A21500062</t>
  </si>
  <si>
    <t>A21500083</t>
  </si>
  <si>
    <t>A21500013</t>
  </si>
  <si>
    <t>A21500020</t>
  </si>
  <si>
    <t>A21500077</t>
  </si>
  <si>
    <t>A21500121</t>
  </si>
  <si>
    <t>A21500007</t>
  </si>
  <si>
    <t>A21500054</t>
  </si>
  <si>
    <t>A21500015</t>
  </si>
  <si>
    <t>A21500002</t>
  </si>
  <si>
    <t>A21500119</t>
  </si>
  <si>
    <t>A21500028</t>
  </si>
  <si>
    <t>A21500052</t>
  </si>
  <si>
    <t>A21500044</t>
  </si>
  <si>
    <t>A21500087</t>
  </si>
  <si>
    <t>A21500131</t>
  </si>
  <si>
    <t>A21500051</t>
  </si>
  <si>
    <t>A21500041</t>
  </si>
  <si>
    <t>A21500093</t>
  </si>
  <si>
    <t>A21500059</t>
  </si>
  <si>
    <t>A21500001</t>
  </si>
  <si>
    <t>A21500110</t>
  </si>
  <si>
    <t>A11500001</t>
  </si>
  <si>
    <t>A11500007</t>
  </si>
  <si>
    <t>A11500008</t>
  </si>
  <si>
    <t>A11500009</t>
  </si>
  <si>
    <t>A11500012</t>
  </si>
  <si>
    <t>A11500013</t>
  </si>
  <si>
    <t>A11500020</t>
  </si>
  <si>
    <t>A11500022</t>
  </si>
  <si>
    <t>A11500025</t>
  </si>
  <si>
    <t>A11500027</t>
  </si>
  <si>
    <t>A11500029</t>
  </si>
  <si>
    <t>A11500032</t>
  </si>
  <si>
    <t>A11500033</t>
  </si>
  <si>
    <t>A21600037</t>
  </si>
  <si>
    <t>A21600038</t>
  </si>
  <si>
    <t>A21600039</t>
  </si>
  <si>
    <t>A21600043</t>
  </si>
  <si>
    <t>A21600056</t>
  </si>
  <si>
    <t>A21600066</t>
  </si>
  <si>
    <t>A21600068</t>
  </si>
  <si>
    <t>A21600074</t>
  </si>
  <si>
    <t>A21600078</t>
  </si>
  <si>
    <t>A21600088</t>
  </si>
  <si>
    <t>A21600089</t>
  </si>
  <si>
    <t>A21600090</t>
  </si>
  <si>
    <t>A21600091</t>
  </si>
  <si>
    <t>A21600124</t>
  </si>
  <si>
    <t>A21600125</t>
  </si>
  <si>
    <t>A21600130</t>
  </si>
  <si>
    <t>A21600137</t>
  </si>
  <si>
    <t>A21600143</t>
  </si>
  <si>
    <t>A21600146</t>
  </si>
  <si>
    <t>A21600147</t>
  </si>
  <si>
    <t>A21600149</t>
  </si>
  <si>
    <t>A21600156</t>
  </si>
  <si>
    <t>A21600157</t>
  </si>
  <si>
    <t>A21600158</t>
  </si>
  <si>
    <t>A21600159</t>
  </si>
  <si>
    <t>A21600162</t>
  </si>
  <si>
    <t>A21600163</t>
  </si>
  <si>
    <t>A21600167</t>
  </si>
  <si>
    <t>A21600169</t>
  </si>
  <si>
    <t>A21600172</t>
  </si>
  <si>
    <t>A21600174</t>
  </si>
  <si>
    <t>A21600177</t>
  </si>
  <si>
    <t>A21600180</t>
  </si>
  <si>
    <t>A21600181</t>
  </si>
  <si>
    <t>A21600183</t>
  </si>
  <si>
    <t>A21600184</t>
  </si>
  <si>
    <t>A21600185</t>
  </si>
  <si>
    <t>A21600205</t>
  </si>
  <si>
    <t>A21600209</t>
  </si>
  <si>
    <t>A21600214</t>
  </si>
  <si>
    <t>A21700217</t>
  </si>
  <si>
    <t>A21700218</t>
  </si>
  <si>
    <t>A21700219</t>
  </si>
  <si>
    <t>A21700220</t>
  </si>
  <si>
    <t>A21700221</t>
  </si>
  <si>
    <t>A21700222</t>
  </si>
  <si>
    <t>A21700223</t>
  </si>
  <si>
    <t>A21700224</t>
  </si>
  <si>
    <t>A21600225</t>
  </si>
  <si>
    <t>A21600228</t>
  </si>
  <si>
    <t>A21600230</t>
  </si>
  <si>
    <t>A21700238</t>
  </si>
  <si>
    <t>A21700239</t>
  </si>
  <si>
    <t>A21700242</t>
  </si>
  <si>
    <t>A21700244</t>
  </si>
  <si>
    <t>A21700249</t>
  </si>
  <si>
    <t>A21700251</t>
  </si>
  <si>
    <t>A21700252</t>
  </si>
  <si>
    <t>A21700266</t>
  </si>
  <si>
    <t>A21700269</t>
  </si>
  <si>
    <t>A21700272</t>
  </si>
  <si>
    <t>A21700273</t>
  </si>
  <si>
    <t>A21700276</t>
  </si>
  <si>
    <t>A21700279</t>
  </si>
  <si>
    <t>A21700281</t>
  </si>
  <si>
    <t>A21700286</t>
  </si>
  <si>
    <t>A21700291</t>
  </si>
  <si>
    <t>A21700301</t>
  </si>
  <si>
    <t>A21700304</t>
  </si>
  <si>
    <t>A21700312</t>
  </si>
  <si>
    <t>A21700314</t>
  </si>
  <si>
    <t>A21700324</t>
  </si>
  <si>
    <t>A21700325</t>
  </si>
  <si>
    <t>A21700326</t>
  </si>
  <si>
    <t>A-Number</t>
  </si>
  <si>
    <t>Level</t>
  </si>
  <si>
    <t>Chinar Ibrahim Mohammed</t>
  </si>
  <si>
    <t>Foad Mohammed Hasan</t>
  </si>
  <si>
    <t>Shaho Mohammad Muhsin</t>
  </si>
  <si>
    <t>Chang Farhan Tahir</t>
  </si>
  <si>
    <t>Omar Ihsan Issa</t>
  </si>
  <si>
    <t>Hevi Younis Hassan</t>
  </si>
  <si>
    <t>Hasan Ahmed Qasim</t>
  </si>
  <si>
    <t>Dayan Ibraheem Ogaid</t>
  </si>
  <si>
    <t>Mohammed Kamil Mohammed</t>
  </si>
  <si>
    <t>Rasheed Ismail Mustafa</t>
  </si>
  <si>
    <t>Othman Omer Othman</t>
  </si>
  <si>
    <t>Dara Ahmed Younis</t>
  </si>
  <si>
    <t>Sherko Bangeen Fattah</t>
  </si>
  <si>
    <t>Kawa Nasraddin Yahya</t>
  </si>
  <si>
    <t>Rozh Jamal Taher</t>
  </si>
  <si>
    <t>Sartach Abdullah Ahmed</t>
  </si>
  <si>
    <t>Barzan Sarkawt Muhammd Salih</t>
  </si>
  <si>
    <t>Kalwan Ogaid Haji</t>
  </si>
  <si>
    <t>Yaldiz Abid Sulaiman</t>
  </si>
  <si>
    <t>Zana Abdulhamid Dewaly</t>
  </si>
  <si>
    <t>Sarhang Abdulhaleem Hasan</t>
  </si>
  <si>
    <t>Abdullah Bilend Ahmad</t>
  </si>
  <si>
    <t>Milham Akram Milham</t>
  </si>
  <si>
    <t>Omeed Farhad Hamdi</t>
  </si>
  <si>
    <t>Ali Khairuldeen Sadeq</t>
  </si>
  <si>
    <t>Barzan Nazhat Hali</t>
  </si>
  <si>
    <t>Roshat Muhammad Mahdi</t>
  </si>
  <si>
    <t>Gabo Hadi Shekho</t>
  </si>
  <si>
    <t>Fatima Khorshid Tawfiq</t>
  </si>
  <si>
    <t>Saman Salar Jafer</t>
  </si>
  <si>
    <t>Muhtab Jalal M. Sadeeq</t>
  </si>
  <si>
    <t>Vazheen Jaseem Ibrahim</t>
  </si>
  <si>
    <t>Roz Sarbast Mohammed Taher</t>
  </si>
  <si>
    <t>Alend Azad Ahmed</t>
  </si>
  <si>
    <t>Sabri Rasheed Mohammed Tahir</t>
  </si>
  <si>
    <t>Mohammed Issa Mousa</t>
  </si>
  <si>
    <t>Joanna Nazar Majeed</t>
  </si>
  <si>
    <t>Alan Waseem Kanoon</t>
  </si>
  <si>
    <t>Nojdar Ameen Othman</t>
  </si>
  <si>
    <t>Kavin Rasheed Naamo</t>
  </si>
  <si>
    <t>Fatima Khorsheed Tawfeeq</t>
  </si>
  <si>
    <t>Abdullah Noradeen Abdullah</t>
  </si>
  <si>
    <t>Berivan Jameel Othman</t>
  </si>
  <si>
    <t>Basam Sami Musheer</t>
  </si>
  <si>
    <t>Nisha Basim Yaqoob</t>
  </si>
  <si>
    <t>Shahrivan Safaree Babakr</t>
  </si>
  <si>
    <t>Aws Yazdeen Khider</t>
  </si>
  <si>
    <t>Sarko Ibrahim Ahmed</t>
  </si>
  <si>
    <t>Shaymaa Khorsheed Zaynadeen</t>
  </si>
  <si>
    <t>Jehan Mohammed Ahmed</t>
  </si>
  <si>
    <t>Ragir Hameed Ali</t>
  </si>
  <si>
    <t>Shireen Taher Saadon</t>
  </si>
  <si>
    <t>Reving Jalal Rashid</t>
  </si>
  <si>
    <t>Jiwan Jihan Mohammad</t>
  </si>
  <si>
    <t>Sepan Adel Mustafa</t>
  </si>
  <si>
    <t>Rand Rasim Hurmiz</t>
  </si>
  <si>
    <t>Mohammed Qadri Hairan</t>
  </si>
  <si>
    <t>Safa Jaseem Mohammed</t>
  </si>
  <si>
    <t>Roz Deedar Khaleel</t>
  </si>
  <si>
    <t>Ahmed Taher Tili</t>
  </si>
  <si>
    <t>Nurjan Fakhir M. Shaheed</t>
  </si>
  <si>
    <t>Barze Ziyad Abdulkader</t>
  </si>
  <si>
    <t>Yasir Ammar Sulaiman</t>
  </si>
  <si>
    <t>Guhdar Nafea Ramadhan</t>
  </si>
  <si>
    <t>Alind Fawzi Jalal</t>
  </si>
  <si>
    <t>Sarbast Mohammed Sulaiman</t>
  </si>
  <si>
    <t>Haya Basheer Ahmed</t>
  </si>
  <si>
    <t>Avahi Ghufran Barzani</t>
  </si>
  <si>
    <t>Ehab Tahseen Tawfeeq</t>
  </si>
  <si>
    <t>Tania Jonaid Saleh</t>
  </si>
  <si>
    <t>Haton Amer Abdulfattah</t>
  </si>
  <si>
    <t>Shiyar Omar Kani</t>
  </si>
  <si>
    <t>Buash KFT Khalid Muhammed</t>
  </si>
  <si>
    <t>Amad Abas Ahmed</t>
  </si>
  <si>
    <t>Giner Sadeq Abdulrahman</t>
  </si>
  <si>
    <t>Avrin Nihad Hamid</t>
  </si>
  <si>
    <t>Mustafa Fekry Hamo</t>
  </si>
  <si>
    <t>Tariq Waleed Khalid</t>
  </si>
  <si>
    <t>Nihad Khaleel Najman</t>
  </si>
  <si>
    <t>Yara Murad Shroo</t>
  </si>
  <si>
    <t>Dilman M.Ameen Yousif</t>
  </si>
  <si>
    <t>Nechirvan Hikmat Mohammed</t>
  </si>
  <si>
    <t>Hevgir Ihsan Abdullah</t>
  </si>
  <si>
    <t>Alind Sabah Mohammed</t>
  </si>
  <si>
    <t>Gwan Mohammed Yousuf</t>
  </si>
  <si>
    <t>Sarmad Abdulsalam Ali</t>
  </si>
  <si>
    <t>Hiwa Haji Ibrahim</t>
  </si>
  <si>
    <t>Abdur Rehman Tahir</t>
  </si>
  <si>
    <t>Jumaah Shukri Waisi</t>
  </si>
  <si>
    <t>Hamza Sulaiman Rasheed</t>
  </si>
  <si>
    <t>Khalid Abdulmalek Marwan</t>
  </si>
  <si>
    <t>Bewar Haji Salih</t>
  </si>
  <si>
    <t>Diyar Ali Tili</t>
  </si>
  <si>
    <t>Sarfaraz Mohammed Hassan</t>
  </si>
  <si>
    <t>Imran Sarmad Kawkab</t>
  </si>
  <si>
    <t>Siyar HussamAldeen Nachi</t>
  </si>
  <si>
    <t>Hiwa Nori Salih</t>
  </si>
  <si>
    <t>Msogar Navroz MohammedAbdullah</t>
  </si>
  <si>
    <t>Roken Soliman Ibrahim</t>
  </si>
  <si>
    <t>Dejin Omar Salih</t>
  </si>
  <si>
    <t>Lana Antar Zibari</t>
  </si>
  <si>
    <t>Diyaree Mansoor Hussein</t>
  </si>
  <si>
    <t>Zindan Majeed Yousif</t>
  </si>
  <si>
    <t>Hanan Abdulsatar Khorsheed</t>
  </si>
  <si>
    <t>Kawkab Salwan Kawkab</t>
  </si>
  <si>
    <t>Walat Hasan Haji</t>
  </si>
  <si>
    <t>Salar Othman MohamedAmin</t>
  </si>
  <si>
    <t>Alan Jameel Shaheen</t>
  </si>
  <si>
    <t>Ayin M.Bahaaddin Hussein</t>
  </si>
  <si>
    <t>Azad Rajab Ibrahim</t>
  </si>
  <si>
    <t>Reman Younis MohammedSaid</t>
  </si>
  <si>
    <t>Sarhad Naif MohammedHassan</t>
  </si>
  <si>
    <t>Midya Haji Hasan</t>
  </si>
  <si>
    <t>Rezan Naif Mousa</t>
  </si>
  <si>
    <t>Hawar Safare Mohammed</t>
  </si>
  <si>
    <t>Omar Ahmad Khaled</t>
  </si>
  <si>
    <t>Harith Sameer Hussein</t>
  </si>
  <si>
    <t>Ahmed Ramadhan Salman</t>
  </si>
  <si>
    <t>Zagros Fahmi Salman</t>
  </si>
  <si>
    <t>Sherwan Adil Yousif</t>
  </si>
  <si>
    <t>Mohammed Amin Darbas</t>
  </si>
  <si>
    <t>Simyar Tamer Ramadhan</t>
  </si>
  <si>
    <t>Ari Issa Qasim</t>
  </si>
  <si>
    <t>Suad Haider SalahAldin</t>
  </si>
  <si>
    <t>Abdulsalam Khaleel Habib</t>
  </si>
  <si>
    <t>Issa Hussein Saleem</t>
  </si>
  <si>
    <t>Zana Salah Khaled</t>
  </si>
  <si>
    <t>Safwan Diwali Asem</t>
  </si>
  <si>
    <t>Reger Abdulmanaf Abdulsalam</t>
  </si>
  <si>
    <t>Belind Sabah Mohammed</t>
  </si>
  <si>
    <t>Omran Luqman Sarhan</t>
  </si>
  <si>
    <t>Ranya Saadi Khudher</t>
  </si>
  <si>
    <t>Fahed Amin Darbas</t>
  </si>
  <si>
    <t>Darstan Mohammed Mahdi</t>
  </si>
  <si>
    <t>Nawzad Abdulmajeed Abdulhameed</t>
  </si>
  <si>
    <t>Sipal Ababaker Salih</t>
  </si>
  <si>
    <t>Mizhda Ahmed Ali</t>
  </si>
  <si>
    <t>Ahmed Yaseen Mohammad</t>
  </si>
  <si>
    <t>Mohammed Rashad Azeez</t>
  </si>
  <si>
    <t>MohamedAmin Ali MohamedAmin</t>
  </si>
  <si>
    <t>Walat Salih Mohammed</t>
  </si>
  <si>
    <t>Shari Antar Zibari</t>
  </si>
  <si>
    <t>Sarwan Sakvan Osman</t>
  </si>
  <si>
    <t>Sakvan Abdo Naser</t>
  </si>
  <si>
    <t>Seerwan Ali Qasim</t>
  </si>
  <si>
    <t>Zeen Bashar Moneb</t>
  </si>
  <si>
    <t>Faris Khairi Yousif</t>
  </si>
  <si>
    <t>Maryna Raed Azeez</t>
  </si>
  <si>
    <t>Hazheen Babaker Baderkhan</t>
  </si>
  <si>
    <t>Aveen Kanaan Abdulghafoor</t>
  </si>
  <si>
    <t>Rawind Abduljabar Amin</t>
  </si>
  <si>
    <t>Karzan Zuher Ahmed</t>
  </si>
  <si>
    <t>Hiba Abdulhakim Madhi</t>
  </si>
  <si>
    <t>Shadi Ismeil Ahmed</t>
  </si>
  <si>
    <t>Ahmed Akram Shamisadeen</t>
  </si>
  <si>
    <t>Vina Nawzad Azad</t>
  </si>
  <si>
    <t>Akad Akram Mikhaeel</t>
  </si>
  <si>
    <t>Savio Zaya George</t>
  </si>
  <si>
    <t>Saman MohammedSalih Hussein</t>
  </si>
  <si>
    <t>Mirdin Abdulmunaf Mohammed</t>
  </si>
  <si>
    <t>Halat Abdulmunaf Mohammed</t>
  </si>
  <si>
    <t>Nyaz Nadhim Hameed</t>
  </si>
  <si>
    <t>Sulaiman Haji Sulaiman</t>
  </si>
  <si>
    <t>Gailan Tahseen Asaad</t>
  </si>
  <si>
    <t>Derbaz Zekri Omar</t>
  </si>
  <si>
    <t>Bawar Nazmi Khalid</t>
  </si>
  <si>
    <t>Lana Nazar Mustafa</t>
  </si>
  <si>
    <t>Omran Abid Michael</t>
  </si>
  <si>
    <t>Sarok Moslih Abdullah</t>
  </si>
  <si>
    <t>Alyan Bikhtiyar Mohammed</t>
  </si>
  <si>
    <t>Khairullah Abdullah M.Salih</t>
  </si>
  <si>
    <t>Nibar Omar M.Salih</t>
  </si>
  <si>
    <t>Malk Hussein M.Ameen</t>
  </si>
  <si>
    <t>Zirak M. Ameen Hadi</t>
  </si>
  <si>
    <t>Elaf Shakir Hussein</t>
  </si>
  <si>
    <t>Sara Abdulameer Ismail</t>
  </si>
  <si>
    <t>Block Two - Fall 2016</t>
  </si>
  <si>
    <t>A21700339</t>
  </si>
  <si>
    <t>Araz Mohammed Ramadhan</t>
  </si>
  <si>
    <t>A21700327</t>
  </si>
  <si>
    <t>Karokh Najman Ali</t>
  </si>
  <si>
    <t>A22100344</t>
  </si>
  <si>
    <t>Fatimah Saad Hamed</t>
  </si>
  <si>
    <t>A22300346</t>
  </si>
  <si>
    <t>Abdulhadi Bahzad Abdulaziz</t>
  </si>
  <si>
    <t>A21700336</t>
  </si>
  <si>
    <t>Mateen Omar Ibrahim</t>
  </si>
  <si>
    <t>A21700352</t>
  </si>
  <si>
    <t>Mustafa Yahya Salih</t>
  </si>
  <si>
    <t>A21700358</t>
  </si>
  <si>
    <t>Irfan Shaban Shaban</t>
  </si>
  <si>
    <t>Malk Hussein M. Ameen</t>
  </si>
  <si>
    <t>Teacher Assessment (Out of 5)</t>
  </si>
  <si>
    <t>Speaking (out of 30)</t>
  </si>
  <si>
    <t>General (out of 30)</t>
  </si>
  <si>
    <t>A21700330</t>
  </si>
  <si>
    <t>Gorgees Rahwan Yohana</t>
  </si>
  <si>
    <t>A21700335</t>
  </si>
  <si>
    <t>Mohammed Ahmed Ali</t>
  </si>
  <si>
    <t>A21700338</t>
  </si>
  <si>
    <t>Gulistan Adil Hafdo</t>
  </si>
  <si>
    <t>A21700333</t>
  </si>
  <si>
    <t>Forat Layth Jirjees</t>
  </si>
  <si>
    <t>Iman Abdulhakim Abdulhamid</t>
  </si>
  <si>
    <t>Ameer Zuheer Sideeq</t>
  </si>
  <si>
    <t>A21700337</t>
  </si>
  <si>
    <t>Adnan Jalal Lazgin</t>
  </si>
  <si>
    <t>A21700353</t>
  </si>
  <si>
    <t>Abdulmajeed Yahya Salih</t>
  </si>
  <si>
    <t>A21700348</t>
  </si>
  <si>
    <t>A21700357</t>
  </si>
  <si>
    <t>Nawras Jameel Taher</t>
  </si>
  <si>
    <t>A21700332</t>
  </si>
  <si>
    <t>A21700331</t>
  </si>
  <si>
    <t>A21700334</t>
  </si>
  <si>
    <t>Ahmed Masoud Ramadhan</t>
  </si>
  <si>
    <t>A21700361</t>
  </si>
  <si>
    <t>Aram Farshad Chalabi</t>
  </si>
  <si>
    <t>A21700328</t>
  </si>
  <si>
    <t>A21700329</t>
  </si>
  <si>
    <t>Teacher Assessment</t>
  </si>
  <si>
    <t>A21700340</t>
  </si>
  <si>
    <t>A21700341</t>
  </si>
  <si>
    <t>A21700342</t>
  </si>
  <si>
    <t>A21700344</t>
  </si>
  <si>
    <t>A21700345</t>
  </si>
  <si>
    <t>CIM001@AUK.EDU.KRD</t>
  </si>
  <si>
    <t>VFM001@AUK.EDU.KRD</t>
  </si>
  <si>
    <t>FMH001@AUK.EDU.KRD</t>
  </si>
  <si>
    <t>SMM001@AUK.EDU.KRD</t>
  </si>
  <si>
    <t>CFT001@AUK.EDU.KRD</t>
  </si>
  <si>
    <t>OII001@AUK.EDU.KRD</t>
  </si>
  <si>
    <t>BFM001@AUK.EDU.KRD</t>
  </si>
  <si>
    <t>HYH001@AUK.EDU.KRD</t>
  </si>
  <si>
    <t>HQA001@AUK.EDU.KRD</t>
  </si>
  <si>
    <t>HAQ001@AUK.EDU.KRD</t>
  </si>
  <si>
    <t>DIO001@AUK.EDU.KRD</t>
  </si>
  <si>
    <t>SSK001@AUK.EDU.KRD</t>
  </si>
  <si>
    <t>GAA001@AUK.EDU.KRD</t>
  </si>
  <si>
    <t>MKM001@AUK.EDU.KRD</t>
  </si>
  <si>
    <t>RIM001@AUK.EDU.KRD</t>
  </si>
  <si>
    <t>OOO001@AUK.EDU.KRD</t>
  </si>
  <si>
    <t>DAY001@AUK.EDU.KRD</t>
  </si>
  <si>
    <t>SBF001@AUK.EDU.KRD</t>
  </si>
  <si>
    <t>KNY001@AUK.EDU.KRD</t>
  </si>
  <si>
    <t>AMM001@AUK.EDU.KRD</t>
  </si>
  <si>
    <t>RJT001@AUK.EDU.KRD</t>
  </si>
  <si>
    <t>SAA001@AUK.EDU.KRD</t>
  </si>
  <si>
    <t>BSM001@AUK.EDU.KRD</t>
  </si>
  <si>
    <t>KOH001@AUK.EDU.KRD</t>
  </si>
  <si>
    <t>YAS001@AUK.EDU.KRD</t>
  </si>
  <si>
    <t>ZAD001@AUK.EDU.KRD</t>
  </si>
  <si>
    <t>AAM001@AUK.EDU.KRD</t>
  </si>
  <si>
    <t>RSH001@AUK.EDU.KRD</t>
  </si>
  <si>
    <t>SAH001@AUK.EDU.KRD</t>
  </si>
  <si>
    <t>ARA001@AUK.EDU.KRD</t>
  </si>
  <si>
    <t>MKS001@AUK.EDU.KRD</t>
  </si>
  <si>
    <t>HZT001@AUK.EDU.KRD</t>
  </si>
  <si>
    <t>ABA001@AUK.EDU.KRD</t>
  </si>
  <si>
    <t>AAH001@AUK.EDU.KRD</t>
  </si>
  <si>
    <t>MSZ001@AUK.EDU.KRD</t>
  </si>
  <si>
    <t>MAM001@AUK.EDU.KRD</t>
  </si>
  <si>
    <t>NZM001@AUK.EDU.KRD</t>
  </si>
  <si>
    <t>OFH001@AUK.EDU.KRD</t>
  </si>
  <si>
    <t>AKS001@AUK.EDU.KRD</t>
  </si>
  <si>
    <t>BNH001@AUK.EDU.KRD</t>
  </si>
  <si>
    <t>NAA001@AUK.EDU.KRD</t>
  </si>
  <si>
    <t>AGI001@AUK.EDU.KRD</t>
  </si>
  <si>
    <t>RMM001@AUK.EDU.KRD</t>
  </si>
  <si>
    <t>BGM001@AUK.EDU.KRD</t>
  </si>
  <si>
    <t>GHS001@AUK.EDU.KRD</t>
  </si>
  <si>
    <t>KAS001@AUK.EDU.KRD</t>
  </si>
  <si>
    <t>SSJ001@AUK.EDU.KRD</t>
  </si>
  <si>
    <t>MJM001@AUK.EDU.KRD</t>
  </si>
  <si>
    <t>HGA001@AUK.EDU.KRD</t>
  </si>
  <si>
    <t>VJI001@AUK.EDU.KRD</t>
  </si>
  <si>
    <t>DMA001@AUK.EDU.KRD</t>
  </si>
  <si>
    <t>BHA002@AUK.EDU.KRD</t>
  </si>
  <si>
    <t>RSM001@AUK.EDU.KRD</t>
  </si>
  <si>
    <t>AAA001@AUK.EDU.KRD</t>
  </si>
  <si>
    <t>OMH001@AUK.EDU.KRD</t>
  </si>
  <si>
    <t>SRM001@AUK.EDU.KRD</t>
  </si>
  <si>
    <t>MIM001@AUK.EDU.KRD</t>
  </si>
  <si>
    <t>JNM001@AUK.EDU.KRD</t>
  </si>
  <si>
    <t>AWK001@AUK.EDU.KRD</t>
  </si>
  <si>
    <t>NAO001@AUK.EDU.KRD</t>
  </si>
  <si>
    <t>FKT002@AUK.EDU.KRD</t>
  </si>
  <si>
    <t>KST001@AUK.EDU.KRD</t>
  </si>
  <si>
    <t>ARA002@AUK.EDU.KRD</t>
  </si>
  <si>
    <t>ANA001@AUK.EDU.KRD</t>
  </si>
  <si>
    <t>BHS001@AUK.EDU.KRD</t>
  </si>
  <si>
    <t>BJO001@AUK.EDU.KRD</t>
  </si>
  <si>
    <t>MAM002@AUK.EDU.KRD</t>
  </si>
  <si>
    <t>BSM003@AUK.EDU.KRD</t>
  </si>
  <si>
    <t>NBY001@AUK.EDU.KRD</t>
  </si>
  <si>
    <t>SSB001@AUK.EDU.KRD</t>
  </si>
  <si>
    <t>BSS001@AUK.EDU.KRD</t>
  </si>
  <si>
    <t>ZJS001@AUK.EDU.KRD</t>
  </si>
  <si>
    <t>BKA001@AUK.EDU.KRD</t>
  </si>
  <si>
    <t>AYK001@AUK.EDU.KRD</t>
  </si>
  <si>
    <t>SIA001@AUK.EDU.KRD</t>
  </si>
  <si>
    <t>SKZ001@AUK.EDU.KRD</t>
  </si>
  <si>
    <t>RHA001@AUK.EDU.KRD</t>
  </si>
  <si>
    <t>LMM001@AUK.EDU.KRD</t>
  </si>
  <si>
    <t>KFO001@AUK.EDU.KRD</t>
  </si>
  <si>
    <t>KKY001@AUK.EDU.KRD</t>
  </si>
  <si>
    <t>STS001@AUK.EDU.KRD</t>
  </si>
  <si>
    <t>HIA001@AUK.EDU.KRD</t>
  </si>
  <si>
    <t>RJR001@AUK.EDU.KRD</t>
  </si>
  <si>
    <t>NRI001@AUK.EDU.KRD</t>
  </si>
  <si>
    <t>SAM001@AUK.EDU.KRD</t>
  </si>
  <si>
    <t>HAH001@AUK.EDU.KRD</t>
  </si>
  <si>
    <t>HKA001@AUK.EDU.KRD</t>
  </si>
  <si>
    <t>RRH001@AUK.EDU.KRD</t>
  </si>
  <si>
    <t>MQH001@AUK.EDU.KRD</t>
  </si>
  <si>
    <t>SJM001@AUK.EDU.KRD</t>
  </si>
  <si>
    <t>SIA002@AUK.EDU.KRD</t>
  </si>
  <si>
    <t>FAA001@AUK.EDU.KRD</t>
  </si>
  <si>
    <t>RDK001@AUK.EDU.KRD</t>
  </si>
  <si>
    <t>TDK001@AUK.EDU.KRD</t>
  </si>
  <si>
    <t>ATT001@AUK.EDU.KRD</t>
  </si>
  <si>
    <t>ZMH001@AUK.EDU.KRD</t>
  </si>
  <si>
    <t>PSA001@AUK.EDU.KRD</t>
  </si>
  <si>
    <t>VSI001@AUK.EDU.KRD</t>
  </si>
  <si>
    <t>DSH001@AUK.EDU.KRD</t>
  </si>
  <si>
    <t>BZA001@AUK.EDU.KRD</t>
  </si>
  <si>
    <t>RAH001@AUK.EDU.KRD</t>
  </si>
  <si>
    <t>AMT001@AUK.EDU.KRD</t>
  </si>
  <si>
    <t>SAM002@AUK.EDU.KRD</t>
  </si>
  <si>
    <t>YAS002@AUK.EDU.KRD</t>
  </si>
  <si>
    <t>GNR001@AUK.EDU.KRD</t>
  </si>
  <si>
    <t>AFJ001@AUK.EDU.KRD</t>
  </si>
  <si>
    <t>SAH002@AUK.EDU.KRD</t>
  </si>
  <si>
    <t>SMS001@AUK.EDU.KRD</t>
  </si>
  <si>
    <t>NFT001@AUK.EDU.KRD</t>
  </si>
  <si>
    <t>KKM001@AUK.EDU.KRD</t>
  </si>
  <si>
    <t>AAM002@AUK.EDU.KRD</t>
  </si>
  <si>
    <t>HBA001@AUK.EDU.KRD</t>
  </si>
  <si>
    <t>EYZ001@AUK.EDU.KRD</t>
  </si>
  <si>
    <t>AGB001@AUK.EDU.KRD</t>
  </si>
  <si>
    <t>ZSM001@AUK.EDU.KRD</t>
  </si>
  <si>
    <t>ETT001@AUK.EDU.KRD</t>
  </si>
  <si>
    <t>TJS001@AUK.EDU.KRD</t>
  </si>
  <si>
    <t>HTA001@AUK.EDU.KRD</t>
  </si>
  <si>
    <t>KYO001@AUK.EDU.KRD</t>
  </si>
  <si>
    <t>MFM001@AUK.EDU.KRD</t>
  </si>
  <si>
    <t>HMA002@AUK.EDU.KRD</t>
  </si>
  <si>
    <t>GHR001@AUK.EDU.KRD</t>
  </si>
  <si>
    <t>HAA001@AUK.EDU.KRD</t>
  </si>
  <si>
    <t>BFH001@AUK.EDU.KRD</t>
  </si>
  <si>
    <t>HMY001@AUK.EDU.KRD</t>
  </si>
  <si>
    <t>SOK001@AUK.EDU.KRD</t>
  </si>
  <si>
    <t>GSS001@AUK.EDU.KRD</t>
  </si>
  <si>
    <t>BKM001@AUK.EDU.KRD</t>
  </si>
  <si>
    <t>AAA002@AUK.EDU.KRD</t>
  </si>
  <si>
    <t>MSM002@AUK.EDU.KRD</t>
  </si>
  <si>
    <t>GSA001@AUK.EDU.KRD</t>
  </si>
  <si>
    <t>NNH001@AUK.EDU.KRD</t>
  </si>
  <si>
    <t>JSR001@AUK.EDU.KRD</t>
  </si>
  <si>
    <t>SSM001@AUK.EDU.KRD</t>
  </si>
  <si>
    <t>BSR001@AUK.EDU.KRD</t>
  </si>
  <si>
    <t>ANH001@AUK.EDU.KRD</t>
  </si>
  <si>
    <t>MFH001@AUK.EDU.KRD</t>
  </si>
  <si>
    <t>TWK001@AUK.EDU.KRD</t>
  </si>
  <si>
    <t>KHY001@AUK.EDU.KRD</t>
  </si>
  <si>
    <t>ASA002@AUK.EDU.KRD</t>
  </si>
  <si>
    <t>NKN001@AUK.EDU.KRD</t>
  </si>
  <si>
    <t>ZSM002@AUK.EDU.KRD</t>
  </si>
  <si>
    <t>RHA002@AUK.EDU.KRD</t>
  </si>
  <si>
    <t>SMT001@AUK.EDU.KRD</t>
  </si>
  <si>
    <t>DMH001@AUK.EDU.KRD</t>
  </si>
  <si>
    <t>SHM001@AUK.EDU.KRD</t>
  </si>
  <si>
    <t>VJY001@AUK.EDU.KRD</t>
  </si>
  <si>
    <t>KHA001@AUK.EDU.KRD</t>
  </si>
  <si>
    <t>ADA001@AUK.EDU.KRD</t>
  </si>
  <si>
    <t>DAF001@AUK.EDU.KRD</t>
  </si>
  <si>
    <t>AAA004@AUK.EDU.KRD</t>
  </si>
  <si>
    <t>YMS001@AUK.EDU.KRD</t>
  </si>
  <si>
    <t>MAA001@AUK.EDU.KRD</t>
  </si>
  <si>
    <t>HYM001@AUK.EDU.KRD</t>
  </si>
  <si>
    <t>KAN001@AUK.EDU.KRD</t>
  </si>
  <si>
    <t>MAI001@AUK.EDU.KRD</t>
  </si>
  <si>
    <t>SSM003@AUK.EDU.KRD</t>
  </si>
  <si>
    <t>RNM001@AUK.EDU.KRD</t>
  </si>
  <si>
    <t>SMI001@AUK.EDU.KRD</t>
  </si>
  <si>
    <t>CNS001@AUK.EDU.KRD</t>
  </si>
  <si>
    <t>DMY001@AUK.EDU.KRD</t>
  </si>
  <si>
    <t>SFM001@AUK.EDU.KRD</t>
  </si>
  <si>
    <t>NHM001@AUK.EDU.KRD</t>
  </si>
  <si>
    <t>BSA001@AUK.EDU.KRD</t>
  </si>
  <si>
    <t>KYO002@AUK.EDU.KRD</t>
  </si>
  <si>
    <t>HHM001@AUK.EDU.KRD</t>
  </si>
  <si>
    <t>AHA002@AUK.EDU.KRD</t>
  </si>
  <si>
    <t>BDD001@AUK.EDU.KRD</t>
  </si>
  <si>
    <t>HIA002@AUK.EDU.KRD</t>
  </si>
  <si>
    <t>OIA001@AUK.EDU.KRD</t>
  </si>
  <si>
    <t>ASM001@AUK.EDU.KRD</t>
  </si>
  <si>
    <t>BFM003@AUK.EDU.KRD</t>
  </si>
  <si>
    <t>DFM001@AUK.EDU.KRD</t>
  </si>
  <si>
    <t>HOY001@AUK.EDU.KRD</t>
  </si>
  <si>
    <t>HAA002@AUK.EDU.KRD</t>
  </si>
  <si>
    <t>HII001@AUK.EDU.KRD</t>
  </si>
  <si>
    <t>ANS001@AUK.EDU.KRD</t>
  </si>
  <si>
    <t>ASK001@AUK.EDU.KRD</t>
  </si>
  <si>
    <t>ARH001@AUK.EDU.KRD</t>
  </si>
  <si>
    <t>GMY001@AUK.EDU.KRD</t>
  </si>
  <si>
    <t>SAA003@AUK.EDU.KRD</t>
  </si>
  <si>
    <t>RRS001@AUK.EDU.KRD</t>
  </si>
  <si>
    <t>HHI001@AUK.EDU.KRD</t>
  </si>
  <si>
    <t>JRF001@AUK.EDU.KRD</t>
  </si>
  <si>
    <t>MKH001@AUK.EDU.KRD</t>
  </si>
  <si>
    <t>HNS002@AUK.EDU.KRD</t>
  </si>
  <si>
    <t>NAW001@AUK.EDU.KRD</t>
  </si>
  <si>
    <t>WAW001@AUK.EDU.KRD</t>
  </si>
  <si>
    <t>MDA001@AUK.EDU.KRD</t>
  </si>
  <si>
    <t>TSS001@AUK.EDU.KRD</t>
  </si>
  <si>
    <t>JAS002@AUK.EDU.KRD</t>
  </si>
  <si>
    <t>JAS001@AUK.EDU.KRD</t>
  </si>
  <si>
    <t>AAH002@AUK.EDU.KRD</t>
  </si>
  <si>
    <t>RBS001@AUK.EDU.KRD</t>
  </si>
  <si>
    <t>ASS001@AUK.EDU.KRD</t>
  </si>
  <si>
    <t>DSO001@AUK.EDU.KRD</t>
  </si>
  <si>
    <t>ZLS001@AUK.EDU.KRD</t>
  </si>
  <si>
    <t>VHO001@AUK.EDU.KRD</t>
  </si>
  <si>
    <t>OAK001@AUK.EDU.KRD</t>
  </si>
  <si>
    <t>HRZ001@AUK.EDU.KRD</t>
  </si>
  <si>
    <t>ZYA001@AUK.EDU.KRD</t>
  </si>
  <si>
    <t>ZSD001@AUK.EDU.KRD</t>
  </si>
  <si>
    <t>JSW001@AUK.EDU.KRD</t>
  </si>
  <si>
    <t>AAM003@AUK.EDU.KRD</t>
  </si>
  <si>
    <t>BSS002@AUK.EDU.KRD</t>
  </si>
  <si>
    <t>HSR001@AUK.EDU.KRD</t>
  </si>
  <si>
    <t>DSA001@AUK.EDU.KRD</t>
  </si>
  <si>
    <t>AAA003@AUK.EDU.KRD</t>
  </si>
  <si>
    <t>MSM003@AUK.EDU.KRD</t>
  </si>
  <si>
    <t>AEM001@AUK.EDU.KRD</t>
  </si>
  <si>
    <t>BIH001@AUK.EDU.KRD</t>
  </si>
  <si>
    <t>HAM001@AUK.EDU.KRD</t>
  </si>
  <si>
    <t>KAM001@AUK.EDU.KRD</t>
  </si>
  <si>
    <t>HMK001@AUK.EDU.KRD</t>
  </si>
  <si>
    <t>SAA002@AUK.EDU.KRD</t>
  </si>
  <si>
    <t>SIK001@AUK.EDU.KRD</t>
  </si>
  <si>
    <t>BHS002@AUK.EDU.KRD</t>
  </si>
  <si>
    <t>KDR001@AUK.EDU.KRD</t>
  </si>
  <si>
    <t>DAT001@AUK.EDU.KRD</t>
  </si>
  <si>
    <t>SMH001@AUK.EDU.KRD</t>
  </si>
  <si>
    <t>OFI001@AUK.EDU.KRD</t>
  </si>
  <si>
    <t>ISK001@AUK.EDU.KRD</t>
  </si>
  <si>
    <t>RJI001@AUK.EDU.KRD</t>
  </si>
  <si>
    <t>SJI001@AUK.EDU.KRD</t>
  </si>
  <si>
    <t>SHM002@AUK.EDU.KRD</t>
  </si>
  <si>
    <t>NDA001@AUK.EDU.KRD</t>
  </si>
  <si>
    <t>SHN001@AUK.EDU.KRD</t>
  </si>
  <si>
    <t>HNS001@AUK.EDU.KRD</t>
  </si>
  <si>
    <t>MNM001@AUK.EDU.KRD</t>
  </si>
  <si>
    <t>RSI001@AUK.EDU.KRD</t>
  </si>
  <si>
    <t>HSB001@AUK.EDU.KRD</t>
  </si>
  <si>
    <t>JIS001@AUK.EDU.KRD</t>
  </si>
  <si>
    <t>DOS001@AUK.EDU.KRD</t>
  </si>
  <si>
    <t>HIM001@AUK.EDU.KRD</t>
  </si>
  <si>
    <t>DMH002@AUK.EDU.KRD</t>
  </si>
  <si>
    <t>ZMY001@AUK.EDU.KRD</t>
  </si>
  <si>
    <t>NAY001@AUK.EDU.KRD</t>
  </si>
  <si>
    <t>HAK001@AUK.EDU.KRD</t>
  </si>
  <si>
    <t>KSK001@AUK.EDU.KRD</t>
  </si>
  <si>
    <t>SJT001@AUK.EDU.KRD</t>
  </si>
  <si>
    <t>WHH001@AUK.EDU.KRD</t>
  </si>
  <si>
    <t>SQM001@AUK.EDU.KRD</t>
  </si>
  <si>
    <t>SOM001@AUK.EDU.KRD</t>
  </si>
  <si>
    <t>AJS001@AUK.EDU.KRD</t>
  </si>
  <si>
    <t>AMH001@AUK.EDU.KRD</t>
  </si>
  <si>
    <t>ARI001@AUK.EDU.KRD</t>
  </si>
  <si>
    <t>TKH001@AUK.EDU.KRD</t>
  </si>
  <si>
    <t>KSM001@AUK.EDU.KRD</t>
  </si>
  <si>
    <t>AKM001@AUK.EDU.KRD</t>
  </si>
  <si>
    <t>MAM003@AUK.EDU.KRD</t>
  </si>
  <si>
    <t>AKM002@AUK.EDU.KRD</t>
  </si>
  <si>
    <t>SBA001@AUK.EDU.KRD</t>
  </si>
  <si>
    <t>MHH001@AUK.EDU.KRD</t>
  </si>
  <si>
    <t>FKT001@AUK.EDU.KRD</t>
  </si>
  <si>
    <t>JJH001@AUK.EDU.KRD</t>
  </si>
  <si>
    <t>AYF001@AUK.EDU.KRD</t>
  </si>
  <si>
    <t>MMH001@AUK.EDU.KRD</t>
  </si>
  <si>
    <t>RNM002@AUK.EDU.KRD</t>
  </si>
  <si>
    <t>IDO001@AUK.EDU.KRD</t>
  </si>
  <si>
    <t>NMY001@AUK.EDU.KRD</t>
  </si>
  <si>
    <t>KKH001@AUK.EDU.KRD</t>
  </si>
  <si>
    <t>OAK002@AUK.EDU.KRD</t>
  </si>
  <si>
    <t>MTH001@AUK.EDU.KRD</t>
  </si>
  <si>
    <t>HSH001@AUK.EDU.KRD</t>
  </si>
  <si>
    <t>ARS001@AUK.EDU.KRD</t>
  </si>
  <si>
    <t>ZFS001@AUK.EDU.KRD</t>
  </si>
  <si>
    <t>SAY001@AUK.EDU.KRD</t>
  </si>
  <si>
    <t>MAD001@AUK.EDU.KRD</t>
  </si>
  <si>
    <t>STR001@AUK.EDU.KRD</t>
  </si>
  <si>
    <t>AIQ001@AUK.EDU.KRD</t>
  </si>
  <si>
    <t>SHS001@AUK.EDU.KRD</t>
  </si>
  <si>
    <t>AKH001@AUK.EDU.KRD</t>
  </si>
  <si>
    <t>MHM001@AUK.EDU.KRD</t>
  </si>
  <si>
    <t>WAH001@AUK.EDU.KRD</t>
  </si>
  <si>
    <t>IHS001@AUK.EDU.KRD</t>
  </si>
  <si>
    <t>ZSS001@AUK.EDU.KRD</t>
  </si>
  <si>
    <t>YMS002@AUK.EDU.KRD</t>
  </si>
  <si>
    <t>KAT001@AUK.EDU.KRD</t>
  </si>
  <si>
    <t>MID001@AUK.EDU.KRD</t>
  </si>
  <si>
    <t>AMM002@AUK.EDU.KRD</t>
  </si>
  <si>
    <t>JSA001@AUK.EDU.KRD</t>
  </si>
  <si>
    <t>BAM001@AUK.EDU.KRD</t>
  </si>
  <si>
    <t>ZMN001@AUK.EDU.KRD</t>
  </si>
  <si>
    <t>AHS001@AUK.EDU.KRD</t>
  </si>
  <si>
    <t>KFN001@AUK.EDU.KRD</t>
  </si>
  <si>
    <t>MAK001@AUK.EDU.KRD</t>
  </si>
  <si>
    <t>SHM003@AUK.EDU.KRD</t>
  </si>
  <si>
    <t>SMH003@AUK.EDU.KRD</t>
  </si>
  <si>
    <t>RSK001@AUK.EDU.KRD</t>
  </si>
  <si>
    <t>BHR001@AUK.EDU.KRD</t>
  </si>
  <si>
    <t>FAD001@AUK.EDU.KRD</t>
  </si>
  <si>
    <t>IBY001@AUK.EDU.KRD</t>
  </si>
  <si>
    <t>IFH001@AUK.EDU.KRD</t>
  </si>
  <si>
    <t>KSS001@AUK.EDU.KRD</t>
  </si>
  <si>
    <t>DBK001@AUK.EDU.KRD</t>
  </si>
  <si>
    <t>LHA001@AUK.EDU.KRD</t>
  </si>
  <si>
    <t>HFS001@AUK.EDU.KRD</t>
  </si>
  <si>
    <t>HFS002@AUK.EDU.KRD</t>
  </si>
  <si>
    <t>DNR001@AUK.EDU.KRD</t>
  </si>
  <si>
    <t>NAZ001@AUK.EDU.KRD</t>
  </si>
  <si>
    <t>AFM001@AUK.EDU.KRD</t>
  </si>
  <si>
    <t>FRH001@AUK.EDU.KRD</t>
  </si>
  <si>
    <t>VJM001@AUK.EDU.KRD</t>
  </si>
  <si>
    <t>MFR001@AUK.EDU.KRD</t>
  </si>
  <si>
    <t>AYM001@AUK.EDU.KRD</t>
  </si>
  <si>
    <t>RSA001@AUK.EDU.KRD</t>
  </si>
  <si>
    <t>BST001@AUK.EDU.KRD</t>
  </si>
  <si>
    <t>SAZ001@AUK.EDU.KRD</t>
  </si>
  <si>
    <t>SFM003@AUK.EDU.KRD</t>
  </si>
  <si>
    <t>SAQ001@AUK.EDU.KRD</t>
  </si>
  <si>
    <t>ZBM001@AUK.EDU.KRD</t>
  </si>
  <si>
    <t>FKY002@AUK.EDU.KRD</t>
  </si>
  <si>
    <t>MFK001@AUK.EDU.KRD</t>
  </si>
  <si>
    <t>MRA002@AUK.EDU.KRD</t>
  </si>
  <si>
    <t>HAK002@AUK.EDU.KRD</t>
  </si>
  <si>
    <t>AKA001@AUK.EDU.KRD</t>
  </si>
  <si>
    <t>RAA001@AUK.EDU.KRD</t>
  </si>
  <si>
    <t>ZAH001@AUK.EDU.KRD</t>
  </si>
  <si>
    <t>SSO001@AUK.EDU.KRD</t>
  </si>
  <si>
    <t>HAM002@AUK.EDU.KRD</t>
  </si>
  <si>
    <t>ASA001@AUK.EDU.KRD</t>
  </si>
  <si>
    <t>SIA003@AUK.EDU.KRD</t>
  </si>
  <si>
    <t>RNH001@AUK.EDU.KRD</t>
  </si>
  <si>
    <t>AAS002@AUK.EDU.KRD</t>
  </si>
  <si>
    <t>VNA001@AUK.EDU.KRD</t>
  </si>
  <si>
    <t>IJK001@AUK.EDU.KRD</t>
  </si>
  <si>
    <t>MSA001@AUK.EDU.KRD</t>
  </si>
  <si>
    <t>AAM004@AUK.EDU.KRD</t>
  </si>
  <si>
    <t>SZG001@AUK.EDU.KRD</t>
  </si>
  <si>
    <t>SMH002@AUK.EDU.KRD</t>
  </si>
  <si>
    <t>HAM003@AUK.EDU.KRD</t>
  </si>
  <si>
    <t>NNH002@AUK.EDU.KRD</t>
  </si>
  <si>
    <t>MRS001@AUK.EDU.KRD</t>
  </si>
  <si>
    <t>SHS002@AUK.EDU.KRD</t>
  </si>
  <si>
    <t>DZO001@AUK.EDU.KRD</t>
  </si>
  <si>
    <t>BNK001@AUK.EDU.KRD</t>
  </si>
  <si>
    <t>LNM001@AUK.EDU.KRD</t>
  </si>
  <si>
    <t>OAM002@AUK.EDU.KRD</t>
  </si>
  <si>
    <t>AHA001@AUK.EDU.KRD</t>
  </si>
  <si>
    <t>SMA001@AUK.EDU.KRD</t>
  </si>
  <si>
    <t>KAM002@AUK.EDU.KRD</t>
  </si>
  <si>
    <t>NOM001@AUK.EDU.KRD</t>
  </si>
  <si>
    <t>MHM002@AUK.EDU.KRD</t>
  </si>
  <si>
    <t>NFI001@AUK.EDU.KRD</t>
  </si>
  <si>
    <t>SAI001@AUK.EDU.KRD</t>
  </si>
  <si>
    <t>DJM001@AUK.EDU.KRD</t>
  </si>
  <si>
    <t>FLJ001@AUK.EDU.KRD</t>
  </si>
  <si>
    <t>MAA003@AUK.EDU.KRD</t>
  </si>
  <si>
    <t>MOI001@AUK.EDU.KRD</t>
  </si>
  <si>
    <t>IAA001@AUK.EDU.KRD</t>
  </si>
  <si>
    <t>A21700385</t>
  </si>
  <si>
    <t>Ahmed Ashqi Ahmed</t>
  </si>
  <si>
    <t>A21700438</t>
  </si>
  <si>
    <t>Mehvan Khalid Haji</t>
  </si>
  <si>
    <t>A21700457</t>
  </si>
  <si>
    <t>Nicheervan Abdullah Hussein</t>
  </si>
  <si>
    <t>A21700427</t>
  </si>
  <si>
    <t>Sidad Ibrahim Hassan</t>
  </si>
  <si>
    <t>A21700422</t>
  </si>
  <si>
    <t>Kovan Hasan Mohammed</t>
  </si>
  <si>
    <t>A21700391</t>
  </si>
  <si>
    <t>Lehat Kamal Taqialdain</t>
  </si>
  <si>
    <t>A21700423</t>
  </si>
  <si>
    <t>Masoud Issa Abdulkhaliq</t>
  </si>
  <si>
    <t>A21700421</t>
  </si>
  <si>
    <t>Anas Dawod Kakil</t>
  </si>
  <si>
    <t>A21700368</t>
  </si>
  <si>
    <t>Randa Rizan Jaafar</t>
  </si>
  <si>
    <t>A21700435</t>
  </si>
  <si>
    <t>Zahra Ali Omar</t>
  </si>
  <si>
    <t>A21700425</t>
  </si>
  <si>
    <t>Aheen Hasan Haji</t>
  </si>
  <si>
    <t>A21700362</t>
  </si>
  <si>
    <t>Taziya Abdulazeez Tatar</t>
  </si>
  <si>
    <t>A21700429</t>
  </si>
  <si>
    <t>Ali Hassan Murad</t>
  </si>
  <si>
    <t>A21700378</t>
  </si>
  <si>
    <t>Kaveen Fadhel Ibrahim</t>
  </si>
  <si>
    <t>Qahraman Abdi Ahmed</t>
  </si>
  <si>
    <t>A21700439</t>
  </si>
  <si>
    <t>Sarbast MohammedTaher Issa</t>
  </si>
  <si>
    <t>A21700370</t>
  </si>
  <si>
    <t>Ayman Abdulwahed Younis</t>
  </si>
  <si>
    <t>A21700388</t>
  </si>
  <si>
    <t>A21700371</t>
  </si>
  <si>
    <t>Masror Khisro Khalid</t>
  </si>
  <si>
    <t>A21700402</t>
  </si>
  <si>
    <t>Nibar Sherzad Saleem</t>
  </si>
  <si>
    <t>A21700441</t>
  </si>
  <si>
    <t>Mohammed Nihad MohammedHassan</t>
  </si>
  <si>
    <t>A21700408</t>
  </si>
  <si>
    <t>Taha Abdullah Taha</t>
  </si>
  <si>
    <t>A21700460</t>
  </si>
  <si>
    <t>Daryush Obed Miro</t>
  </si>
  <si>
    <t>A21700403</t>
  </si>
  <si>
    <t>Faiz Jabar Hassan</t>
  </si>
  <si>
    <t>A21700392</t>
  </si>
  <si>
    <t>Niwar Abdullah Buhaadeen</t>
  </si>
  <si>
    <t>A21700424</t>
  </si>
  <si>
    <t>Ali Hussein Kurdi</t>
  </si>
  <si>
    <t>A21700405</t>
  </si>
  <si>
    <t>Farhad Mohammed Jader</t>
  </si>
  <si>
    <t>A21700387</t>
  </si>
  <si>
    <t>Beyaf Jalal Nayif</t>
  </si>
  <si>
    <t>A21700382</t>
  </si>
  <si>
    <t>Rezheen Younis Sarhan</t>
  </si>
  <si>
    <t>A21700440</t>
  </si>
  <si>
    <t>Dilman Issa M.Ameen</t>
  </si>
  <si>
    <t>A21700433</t>
  </si>
  <si>
    <t>Hussni Jamal Hussni</t>
  </si>
  <si>
    <t>A21700462</t>
  </si>
  <si>
    <t>karwan Salih Rasheed</t>
  </si>
  <si>
    <t>A21700428</t>
  </si>
  <si>
    <t>Zrian Merkhan Yousif</t>
  </si>
  <si>
    <t>A21700448</t>
  </si>
  <si>
    <t>Mohammed Othman AhmedAli</t>
  </si>
  <si>
    <t>A21700389</t>
  </si>
  <si>
    <t>Kaman Abdulsatar Hussein</t>
  </si>
  <si>
    <t>A21700455</t>
  </si>
  <si>
    <t>A21700417</t>
  </si>
  <si>
    <t>A21700415</t>
  </si>
  <si>
    <t>Aras Mohammed Ramadhan</t>
  </si>
  <si>
    <t>Kardokh Najman Ali</t>
  </si>
  <si>
    <t>A21700409</t>
  </si>
  <si>
    <t>Galoan Mohammed Mousa</t>
  </si>
  <si>
    <t>A21700410</t>
  </si>
  <si>
    <t>Dilkhaz Omer Ismael</t>
  </si>
  <si>
    <t>A21700419</t>
  </si>
  <si>
    <t>Reger Abdulsamad Tawfeeq</t>
  </si>
  <si>
    <t>A21700414</t>
  </si>
  <si>
    <t>Bewar Ibrahim Tamar</t>
  </si>
  <si>
    <t>A21700456</t>
  </si>
  <si>
    <t>Gantha Badr Amanuel</t>
  </si>
  <si>
    <t>A21700420</t>
  </si>
  <si>
    <t>Nichirvan Mohammed Hasan</t>
  </si>
  <si>
    <t>A21700442</t>
  </si>
  <si>
    <t>Ibrahim Khalil Ibrahim</t>
  </si>
  <si>
    <t>A21700363</t>
  </si>
  <si>
    <t>Dilovan Majeed Hessein</t>
  </si>
  <si>
    <t>A21700386</t>
  </si>
  <si>
    <t>Nadeen Abduljabar Tatar</t>
  </si>
  <si>
    <t>A21700430</t>
  </si>
  <si>
    <t>Vajeen Muslih Adullatif</t>
  </si>
  <si>
    <t>A21700416</t>
  </si>
  <si>
    <t>A21700377</t>
  </si>
  <si>
    <t>A21700350</t>
  </si>
  <si>
    <t>Bewar Zuber Ibrahim</t>
  </si>
  <si>
    <t>A21700406</t>
  </si>
  <si>
    <t>Khorsheed Suleman Rasheed</t>
  </si>
  <si>
    <t>A21700376</t>
  </si>
  <si>
    <t>A21700384</t>
  </si>
  <si>
    <t>Shirwan Ismael Murad</t>
  </si>
  <si>
    <t>A21700431</t>
  </si>
  <si>
    <t>Jowan Hakim Salman</t>
  </si>
  <si>
    <t>A21700453</t>
  </si>
  <si>
    <t>Linda Rafo Rasho</t>
  </si>
  <si>
    <t>A21700383</t>
  </si>
  <si>
    <t>Haron Ameer Abdullah</t>
  </si>
  <si>
    <t>A21700346</t>
  </si>
  <si>
    <t>A21700399</t>
  </si>
  <si>
    <t>Ala Kawa Mahmood</t>
  </si>
  <si>
    <t>A21700426</t>
  </si>
  <si>
    <t>Mohammed Ameen Sulaiman</t>
  </si>
  <si>
    <t>A21700454</t>
  </si>
  <si>
    <t>Tiba Bahaulddin Abdulameer</t>
  </si>
  <si>
    <t>Fatimah Saad Ahmed</t>
  </si>
  <si>
    <t>A21700380</t>
  </si>
  <si>
    <t>Kawa MuhammedAmeen Ahmed</t>
  </si>
  <si>
    <t>A21700369</t>
  </si>
  <si>
    <t>A21700390</t>
  </si>
  <si>
    <t>Kamel Kofi Mahmoud</t>
  </si>
  <si>
    <t>A21700446</t>
  </si>
  <si>
    <t>Mohammed Teyib Tahir</t>
  </si>
  <si>
    <t>A21700343</t>
  </si>
  <si>
    <t>Shirak Robin Bathyon</t>
  </si>
  <si>
    <t>A21700401</t>
  </si>
  <si>
    <t>A21700397</t>
  </si>
  <si>
    <t>Resan Islam Obaid</t>
  </si>
  <si>
    <t>A21700451</t>
  </si>
  <si>
    <t>A21700465</t>
  </si>
  <si>
    <t>Honer Ismat Iqbal</t>
  </si>
  <si>
    <t>Avan Naji MohammedSalih</t>
  </si>
  <si>
    <t>A21700458</t>
  </si>
  <si>
    <t>Ahmed Azat Arif</t>
  </si>
  <si>
    <t>A21700418</t>
  </si>
  <si>
    <t>Ilham Abdulmanaf Taha</t>
  </si>
  <si>
    <t>A21700463</t>
  </si>
  <si>
    <t>Milad Rzgar Nasrullah</t>
  </si>
  <si>
    <t>A21700407</t>
  </si>
  <si>
    <t>Mehvan Abdulazeez Shaban</t>
  </si>
  <si>
    <t>Jiwan Shaaban Ramadhan</t>
  </si>
  <si>
    <t>Bawari Shaaban Ramadhan</t>
  </si>
  <si>
    <t>Blind Foad MohammedSalih</t>
  </si>
  <si>
    <t>A21700373</t>
  </si>
  <si>
    <t>Norhan Abdulkhaleq Taha</t>
  </si>
  <si>
    <t>Viyan Haydar Ilyas</t>
  </si>
  <si>
    <t>A21700449</t>
  </si>
  <si>
    <t>Herish Badal Basy</t>
  </si>
  <si>
    <t>A#</t>
  </si>
  <si>
    <t>Abdulrahman Ahmed Hassan</t>
  </si>
  <si>
    <t>Eldad Yatron Zaya</t>
  </si>
  <si>
    <t>A11500010</t>
  </si>
  <si>
    <t>Laila Niho Hasan</t>
  </si>
  <si>
    <t>Pel Fadhululddin Hasan</t>
  </si>
  <si>
    <t>Gahen Sdiqi Sadiq</t>
  </si>
  <si>
    <t>Niveen Nasrat Hassan</t>
  </si>
  <si>
    <t>Mehvan Abdulsatar Ismael</t>
  </si>
  <si>
    <t>Saman Mohammed Ismail</t>
  </si>
  <si>
    <t>Randa Rostam Shamoon</t>
  </si>
  <si>
    <t>Waisi Abdulazeez Waisi</t>
  </si>
  <si>
    <t>A21600128</t>
  </si>
  <si>
    <t>Amr Jameel MohammedSalih</t>
  </si>
  <si>
    <t>Sarwar Jamal Tawfeeq</t>
  </si>
  <si>
    <t>RYM002@AUK.EDU.KRD</t>
  </si>
  <si>
    <t>NAA002@AUK.EDU.KRD</t>
  </si>
  <si>
    <t>SAS001@AUK.EDU.KRD</t>
  </si>
  <si>
    <t>SAN001@AUK.EDU.KRD</t>
  </si>
  <si>
    <t>HBB002@AUK.EDU.KRD</t>
  </si>
  <si>
    <t>KZA001@AUK.EDU.KRD</t>
  </si>
  <si>
    <t>Haiv Salar Jafer</t>
  </si>
  <si>
    <t>Diyar Jiar M.Naji</t>
  </si>
  <si>
    <t>HBB001@AUK.EDU.KRD</t>
  </si>
  <si>
    <t>VHI001@AUK.EDU.KRD</t>
  </si>
  <si>
    <t>AMR001@AUK.EDU.KRD</t>
  </si>
  <si>
    <t>GAH001@AUK.EDU.KRD</t>
  </si>
  <si>
    <t>AMR002@AUK.EDU.KRD</t>
  </si>
  <si>
    <t>Shevin Taha</t>
  </si>
  <si>
    <t>SRT002@AUK.EDU.KRD</t>
  </si>
  <si>
    <t>QAA001@AUK.EDU.KRD</t>
  </si>
  <si>
    <t>SRB001@AUK.EDU.KRD</t>
  </si>
  <si>
    <t>AZS001@AUK.EDU.KRD</t>
  </si>
  <si>
    <t>ABA002@AUK.EDU.KRD</t>
  </si>
  <si>
    <t>A21700347</t>
  </si>
  <si>
    <t>Roma Samee Barzani</t>
  </si>
  <si>
    <t>RSA002@AUK.EDU.KRD</t>
  </si>
  <si>
    <t>ANM001@AUK.EDU.KRD</t>
  </si>
  <si>
    <t>BZI001@AUK.EDU.KRD</t>
  </si>
  <si>
    <t>MYS001@AUK.EDU.KRD</t>
  </si>
  <si>
    <t>AYS001@AUK.EDU.KRD</t>
  </si>
  <si>
    <t>A21700359</t>
  </si>
  <si>
    <t>Saja Abdullah Dawod</t>
  </si>
  <si>
    <t>A21700360</t>
  </si>
  <si>
    <t>Rama Noel Baito</t>
  </si>
  <si>
    <t>RNB001@AUK.EDU.KRD</t>
  </si>
  <si>
    <t>AFC001@AUK.EDU.KRD</t>
  </si>
  <si>
    <t>TAT001@AUK.EDU.KRD</t>
  </si>
  <si>
    <t>DMH003@AUK.EDU.KRD</t>
  </si>
  <si>
    <t>A21700364</t>
  </si>
  <si>
    <t>Kajin Wurya Khalil</t>
  </si>
  <si>
    <t>RRJ001@AUK.EDU.KRD</t>
  </si>
  <si>
    <t>Shirwan Kamal M.Salih</t>
  </si>
  <si>
    <t>SKM001@AUK.EDU.KRD</t>
  </si>
  <si>
    <t>AAY001@AUK.EDU.KRD</t>
  </si>
  <si>
    <t>MKK001@AUK.EDU.KRD</t>
  </si>
  <si>
    <t>A21700372</t>
  </si>
  <si>
    <t>Yousif Islam Haji</t>
  </si>
  <si>
    <t>NAT001@AUK.EDU.KRD</t>
  </si>
  <si>
    <t>A21700374</t>
  </si>
  <si>
    <t>Fatima Rezan Othman</t>
  </si>
  <si>
    <t>FRO001@AUK.EDU.KRD</t>
  </si>
  <si>
    <t>A21700375</t>
  </si>
  <si>
    <t>Helien Shawkat Mohammed</t>
  </si>
  <si>
    <t>HSM001@AUK.EDU.KRD</t>
  </si>
  <si>
    <t>Nafi MuhammedTaher Abdullah</t>
  </si>
  <si>
    <t>NMT001@AUK.EDU.KRD</t>
  </si>
  <si>
    <t>Sizar Rajab Taher</t>
  </si>
  <si>
    <t>SRT001@AUK.EDU.KRD</t>
  </si>
  <si>
    <t>KFI001@AUK.EDU.KRD</t>
  </si>
  <si>
    <t>A21700379</t>
  </si>
  <si>
    <t>Saad Ahmed SaifAllah</t>
  </si>
  <si>
    <t>A21700381</t>
  </si>
  <si>
    <t>Kamiran Chiyayi Mohammed</t>
  </si>
  <si>
    <t>RYS001@AUK.EDU.KRD</t>
  </si>
  <si>
    <t>HAA003@AUK.EDU.KRD</t>
  </si>
  <si>
    <t>SIM001@AUK.EDU.KRD</t>
  </si>
  <si>
    <t>AAA005@AUK.EDU.KRD</t>
  </si>
  <si>
    <t>NAT002@AUK.EDU.KRD</t>
  </si>
  <si>
    <t>BJN001@AUK.EDU.KRD</t>
  </si>
  <si>
    <t>SNM002@AUK.EDU.KRD</t>
  </si>
  <si>
    <t>KAH001@AUK.EDU.KRD</t>
  </si>
  <si>
    <t>KKM002@AUK.EDU.KRD</t>
  </si>
  <si>
    <t>LKT001@AUK.EDU.KRD</t>
  </si>
  <si>
    <t>NAB001@AUK.EDU.KRD</t>
  </si>
  <si>
    <t>A21700393</t>
  </si>
  <si>
    <t>Ari Rizgar Hameed</t>
  </si>
  <si>
    <t>ARH002@AUK.EDU.KRD</t>
  </si>
  <si>
    <t>A21700394</t>
  </si>
  <si>
    <t>Ula Hussain Ahmed</t>
  </si>
  <si>
    <t>A21700395</t>
  </si>
  <si>
    <t>Mariam Hussain Ahmed</t>
  </si>
  <si>
    <t>RIO001@AUK.EDU.KRD</t>
  </si>
  <si>
    <t>A21700398</t>
  </si>
  <si>
    <t>Tinah Khalid Sabri</t>
  </si>
  <si>
    <t>TKS001@AUK.EDU.KRD</t>
  </si>
  <si>
    <t>AKM003@AUK.EDU.KRD</t>
  </si>
  <si>
    <t>A21700400</t>
  </si>
  <si>
    <t>Falah Hasan Abdulqadir</t>
  </si>
  <si>
    <t>Safa MohammedShifaa Adnan</t>
  </si>
  <si>
    <t>SMA002@AUK.EDU.KRD</t>
  </si>
  <si>
    <t>NSS001@AUK.EDU.KRD</t>
  </si>
  <si>
    <t>FJH001@AUK.EDU.KRD</t>
  </si>
  <si>
    <t>A21700404</t>
  </si>
  <si>
    <t>Haliz Mustafa Muhammed</t>
  </si>
  <si>
    <t>FMJ001@AUK.EDU.KRD</t>
  </si>
  <si>
    <t>KSR001@AUK.EDU.KRD</t>
  </si>
  <si>
    <t>MAS001@AUK.EDU.KRD</t>
  </si>
  <si>
    <t>GMM001@AUK.EDU.KRD</t>
  </si>
  <si>
    <t>DOI001@AUK.EDU.KRD</t>
  </si>
  <si>
    <t>A21700411</t>
  </si>
  <si>
    <t>Abdullah Ahmed Abdullah</t>
  </si>
  <si>
    <t>A21700412</t>
  </si>
  <si>
    <t>Brin Omar Sanaan</t>
  </si>
  <si>
    <t>A21700413</t>
  </si>
  <si>
    <t>Zhegire Thiyab Yahya</t>
  </si>
  <si>
    <t>BIT001@AUK.EDU.KRD</t>
  </si>
  <si>
    <t>Dizhwar Herish Haidar</t>
  </si>
  <si>
    <t>Warden Ababaker Salih</t>
  </si>
  <si>
    <t>WAS001@AUK.EDU.KRD</t>
  </si>
  <si>
    <t>Dastan Abdullah Piroms</t>
  </si>
  <si>
    <t>IAT001@AUK.EDU.KRD</t>
  </si>
  <si>
    <t>RAT002@AUK.EDU.KRD</t>
  </si>
  <si>
    <t>NMH001@AUK.EDU.KRD</t>
  </si>
  <si>
    <t>ADK001@AUK.EDU.KRD</t>
  </si>
  <si>
    <t>KHM001@AUK.EDU.KRD</t>
  </si>
  <si>
    <t>MIA001@AUK.EDU.KRD</t>
  </si>
  <si>
    <t>AHK001@AUK.EDU.KRD</t>
  </si>
  <si>
    <t>AHH001@AUK.EDU.KRD</t>
  </si>
  <si>
    <t>MAS002@AUK.EDU.KRD</t>
  </si>
  <si>
    <t>ZMY002@AUK.EDU.KRD</t>
  </si>
  <si>
    <t>AHM001@AUK.EDU.KRD</t>
  </si>
  <si>
    <t>VMA001@AUK.EDU.KRD</t>
  </si>
  <si>
    <t>A21700432</t>
  </si>
  <si>
    <t>Mohammed Yousif Sleman</t>
  </si>
  <si>
    <t>HJH001@AUK.EDU.KRD</t>
  </si>
  <si>
    <t>A21700434</t>
  </si>
  <si>
    <t>Olevea Khoshaba Zaya</t>
  </si>
  <si>
    <t>OKZ001@AUK.EDU.KRD</t>
  </si>
  <si>
    <t>ZAO001@AUK.EDU.KRD</t>
  </si>
  <si>
    <t>A21700436</t>
  </si>
  <si>
    <t>Shaima Adil Mohammed</t>
  </si>
  <si>
    <t>A21700437</t>
  </si>
  <si>
    <t>Fikram Ali Salih</t>
  </si>
  <si>
    <t>MKH002@AUK.EDU.KRD</t>
  </si>
  <si>
    <t>SMI002@AUK.EDU.KRD</t>
  </si>
  <si>
    <t>DIM001@AUK.EDU.KRD</t>
  </si>
  <si>
    <t>MNM002@AUK.EDU.KRD</t>
  </si>
  <si>
    <t>IKI001@AUK.EDU.KRD</t>
  </si>
  <si>
    <t>A21700443</t>
  </si>
  <si>
    <t>Lara Wrya Ibrahim</t>
  </si>
  <si>
    <t>LWI001@AUK.EDU.KRD</t>
  </si>
  <si>
    <t>A21700444</t>
  </si>
  <si>
    <t>Sadeeq Salih Taha</t>
  </si>
  <si>
    <t>SST001@AUK.EDU.KRD</t>
  </si>
  <si>
    <t>A21700445</t>
  </si>
  <si>
    <t>Ari Blind Mohammed</t>
  </si>
  <si>
    <t>MTT001@AUK.EDU.KRD</t>
  </si>
  <si>
    <t>MOA001@AUK.EDU.KRD</t>
  </si>
  <si>
    <t>Lamo Hussein Kareem</t>
  </si>
  <si>
    <t>A21700450</t>
  </si>
  <si>
    <t>Hezha Abdulaziz Abdullah</t>
  </si>
  <si>
    <t>Dilshad Haider Ahmed</t>
  </si>
  <si>
    <t>DHA001@AUK.EDU.KRD</t>
  </si>
  <si>
    <t>A21700452</t>
  </si>
  <si>
    <t>Karzan Ali Kamil</t>
  </si>
  <si>
    <t>TA002@AUK.EDU.KRD</t>
  </si>
  <si>
    <t>Ismail Sihat Kaya</t>
  </si>
  <si>
    <t>GBA001@AUK.EDU.KRD</t>
  </si>
  <si>
    <t>NAH001@AUK.EDU.KRD</t>
  </si>
  <si>
    <t>AAA006@AUK.EDU.KRD</t>
  </si>
  <si>
    <t>A21700459</t>
  </si>
  <si>
    <t>Bawar Shakir M.Emin</t>
  </si>
  <si>
    <t>BSM004@AUK.EDU.KRD</t>
  </si>
  <si>
    <t>DOM001@AUK.EDU.KRD</t>
  </si>
  <si>
    <t>A21700461</t>
  </si>
  <si>
    <t>Arin Zebari</t>
  </si>
  <si>
    <t>MRN001@AUK.EDU.KRD</t>
  </si>
  <si>
    <t>A21700464</t>
  </si>
  <si>
    <t>Meer Sinjan Suleiman</t>
  </si>
  <si>
    <t>MSS002@AUK.EDU.KRD</t>
  </si>
  <si>
    <t>Seerwan Dilwer M. Sadeeq</t>
  </si>
  <si>
    <t>A21700466</t>
  </si>
  <si>
    <t>Derbaz Nabaz Khoshnaw</t>
  </si>
  <si>
    <t>DNK001@AUK.EDU.KRD</t>
  </si>
  <si>
    <t>A11700468</t>
  </si>
  <si>
    <t>Mohanned</t>
  </si>
  <si>
    <t>Exam Writing</t>
  </si>
  <si>
    <t>Grade Breakdown</t>
  </si>
  <si>
    <t>Rahma Sardar Hassan</t>
  </si>
  <si>
    <t>Karwan Salih Rasheed</t>
  </si>
  <si>
    <t>A11700486</t>
  </si>
  <si>
    <t>Ridwan Adil Tahir</t>
  </si>
  <si>
    <t>A11700484</t>
  </si>
  <si>
    <t>Derin Abdulkarim Qasim</t>
  </si>
  <si>
    <t>Dastan Abdullah Pirmos</t>
  </si>
  <si>
    <t>Shirava Moayed Teyib</t>
  </si>
  <si>
    <t>A21700469</t>
  </si>
  <si>
    <t>Martin Anderious Yalda</t>
  </si>
  <si>
    <t>A21700365</t>
  </si>
  <si>
    <t>Ala Sabah MohammedAli</t>
  </si>
  <si>
    <t>Siyar Fakhir Nadhir</t>
  </si>
  <si>
    <t>A11700479</t>
  </si>
  <si>
    <t>Milad Jamal Ali</t>
  </si>
  <si>
    <t>Basha Sinjan Sulaiman</t>
  </si>
  <si>
    <t>Ibrahim Khaleel Ibrahim</t>
  </si>
  <si>
    <t>A21700471</t>
  </si>
  <si>
    <t>Ismail Ameen Ismail</t>
  </si>
  <si>
    <t>Block Two - Fall 2017</t>
  </si>
  <si>
    <t>A_Number</t>
  </si>
  <si>
    <t>Abdullah Ahmad</t>
  </si>
  <si>
    <t>abdullah.ahmad@students.auk.edu.krd</t>
  </si>
  <si>
    <t>Abdulmajeed Salih</t>
  </si>
  <si>
    <t>abdulmajeed.salih@students.auk.edu.krd</t>
  </si>
  <si>
    <t>Agiree Abdusalam</t>
  </si>
  <si>
    <t>agiree.abdusalam@students.auk.edu.krd</t>
  </si>
  <si>
    <t>Ahmed Essmat</t>
  </si>
  <si>
    <t>ahmed.essmat@students.auk.edu.krd</t>
  </si>
  <si>
    <t>Ahmed Hasan</t>
  </si>
  <si>
    <t>ahmed.hasan@Students.auk.edu.krd</t>
  </si>
  <si>
    <t>Ahmed Kamaran</t>
  </si>
  <si>
    <t>ahmed.kamaran@students.auk.edu.krd</t>
  </si>
  <si>
    <t>Ahmed Kamil</t>
  </si>
  <si>
    <t>ahmed.kamil@students.auk.edu.krd</t>
  </si>
  <si>
    <t>Ahmed Tili</t>
  </si>
  <si>
    <t>ahmed.tili@students.auk.edu.krd</t>
  </si>
  <si>
    <t>Ahmed Yaseen</t>
  </si>
  <si>
    <t>ahmed.yaseen@students.auk.edu.krd</t>
  </si>
  <si>
    <t>Alaa fatihi</t>
  </si>
  <si>
    <t>alaa.fatihi@students.auk.edu.krd</t>
  </si>
  <si>
    <t>Alan Kanoon</t>
  </si>
  <si>
    <t>alan.kanoon@students.auk.edu.krd</t>
  </si>
  <si>
    <t>Alan Taher</t>
  </si>
  <si>
    <t>alan.taher@students.auk.edu.krd</t>
  </si>
  <si>
    <t>Alend Ahmed</t>
  </si>
  <si>
    <t>alend.ahmed@students.auk.edu.krd</t>
  </si>
  <si>
    <t>Alind Jalal</t>
  </si>
  <si>
    <t>alind.jalal@students.auk.edu.krd</t>
  </si>
  <si>
    <t>Amenah Fawzi</t>
  </si>
  <si>
    <t>amenah.fawzi@Students.auk.edu.krd</t>
  </si>
  <si>
    <t>Ari Mohammed</t>
  </si>
  <si>
    <t>ari.mohammed@students.auk.edu.krd</t>
  </si>
  <si>
    <t>Ari Sidqi</t>
  </si>
  <si>
    <t>ari.sidqi@Students.auk.edu.krd</t>
  </si>
  <si>
    <t>Ashti Makki</t>
  </si>
  <si>
    <t>ashti.makki@Students.auk.edu.krd</t>
  </si>
  <si>
    <t>Ayden Abdulwahab</t>
  </si>
  <si>
    <t>ayden.abdulwahab@Students.auk.edu.krd</t>
  </si>
  <si>
    <t>Badal Ali</t>
  </si>
  <si>
    <t>badal.ali@students.auk.edu.krd</t>
  </si>
  <si>
    <t>Baran Feysal</t>
  </si>
  <si>
    <t>baran.feysal@Students.auk.edu.krd</t>
  </si>
  <si>
    <t>Basha Sinjan</t>
  </si>
  <si>
    <t>basha.sinjan@Students.auk.edu.krd</t>
  </si>
  <si>
    <t>Belend Kamal</t>
  </si>
  <si>
    <t>belend.kamal@Students.auk.edu.krd</t>
  </si>
  <si>
    <t>Bilind Zubair</t>
  </si>
  <si>
    <t>bilind.zubair@Students.auk.edu.krd</t>
  </si>
  <si>
    <t>Broosh Amin</t>
  </si>
  <si>
    <t>broosh.amin@students.auk.edu.krd</t>
  </si>
  <si>
    <t>Buhar Jalal</t>
  </si>
  <si>
    <t>buhar.jalal@Students.auk.edu.krd</t>
  </si>
  <si>
    <t>Chalang Saleem</t>
  </si>
  <si>
    <t>chalang.saleem@students.auk.edu.krd</t>
  </si>
  <si>
    <t>Dalia Jiyar</t>
  </si>
  <si>
    <t>dalia.jiyar@Students.auk.edu.krd</t>
  </si>
  <si>
    <t>Darstan Mahdi</t>
  </si>
  <si>
    <t>darstan.mahdi@students.auk.edu.krd</t>
  </si>
  <si>
    <t>Dayan Ogaid</t>
  </si>
  <si>
    <t>dayan.ogaid@students.auk.edu.krd</t>
  </si>
  <si>
    <t>Dilshad Sakfan</t>
  </si>
  <si>
    <t>dilshad.sakfan@Students.auk.edu.krd</t>
  </si>
  <si>
    <t>Diyar Hassan</t>
  </si>
  <si>
    <t>diyar.hassan@students.auk.edu.krd</t>
  </si>
  <si>
    <t>Fanar Najmudeen</t>
  </si>
  <si>
    <t>fanar.najmudeen@Students.auk.edu.krd</t>
  </si>
  <si>
    <t>Halgir Taher</t>
  </si>
  <si>
    <t>halgir.taher@students.auk.edu.krd</t>
  </si>
  <si>
    <t>Hawar Mohammed</t>
  </si>
  <si>
    <t>hawar.mohammed@students.auk.edu.krd</t>
  </si>
  <si>
    <t>Haya Ahmed</t>
  </si>
  <si>
    <t>haya.ahmed@students.auk.edu.krd</t>
  </si>
  <si>
    <t>Hikmat Dindar</t>
  </si>
  <si>
    <t>hikmat.dindar@Students.auk.edu.krd</t>
  </si>
  <si>
    <t>Hivi Sidqi</t>
  </si>
  <si>
    <t>hivi.sidqi@Students.auk.edu.krd</t>
  </si>
  <si>
    <t>Iman Jalal</t>
  </si>
  <si>
    <t>iman.jalal@Students.auk.edu.krd</t>
  </si>
  <si>
    <t>Israa Obaidellah</t>
  </si>
  <si>
    <t>israa.obaidellah@students.auk.edu.krd</t>
  </si>
  <si>
    <t>Jwan Salih</t>
  </si>
  <si>
    <t>jwan.salih@Students.auk.edu.krd</t>
  </si>
  <si>
    <t>Karzan Ibrahim</t>
  </si>
  <si>
    <t>karzan.ibrahim@Students.auk.edu.krd</t>
  </si>
  <si>
    <t>Kazhin Awzer</t>
  </si>
  <si>
    <t>kazhin.awzer@students.auk.edu.krd</t>
  </si>
  <si>
    <t>Lozin Zeto</t>
  </si>
  <si>
    <t>lozin.zeto@Students.auk.edu.krd</t>
  </si>
  <si>
    <t>Mario Shamoon</t>
  </si>
  <si>
    <t>mario.shamoon@students.auk.edu.krd</t>
  </si>
  <si>
    <t>Marwan Khalil</t>
  </si>
  <si>
    <t>marwan.khalil@Students.auk.edu.krd</t>
  </si>
  <si>
    <t>MohamedAmin Ali</t>
  </si>
  <si>
    <t>mohammedamin.ali@students.auk.edu.krd</t>
  </si>
  <si>
    <t>Mohammed Kamil</t>
  </si>
  <si>
    <t>mohammed.kamil@students.auk.edu.krd</t>
  </si>
  <si>
    <t>Mohammed Mashhood</t>
  </si>
  <si>
    <t>mohammed.mashhood@students.auk.edu.krd</t>
  </si>
  <si>
    <t>Mohammed Mousa</t>
  </si>
  <si>
    <t>mohammed.mousa@students.auk.edu.krd</t>
  </si>
  <si>
    <t>Mohammed Nihad</t>
  </si>
  <si>
    <t>mohammed.nihad@Students.auk.edu.krd</t>
  </si>
  <si>
    <t>Mohammed Saleem</t>
  </si>
  <si>
    <t>mohammed.saleem@students.auk.edu.krd</t>
  </si>
  <si>
    <t>Nawras Taher</t>
  </si>
  <si>
    <t>nawras.taher@students.auk.edu.krd</t>
  </si>
  <si>
    <t>Nihad Najman</t>
  </si>
  <si>
    <t>nihad.najman@students.auk.edu.krd</t>
  </si>
  <si>
    <t>Niveen Hassan</t>
  </si>
  <si>
    <t>niveen.hassan@students.auk.edu.krd</t>
  </si>
  <si>
    <t>Nojdar Saeed</t>
  </si>
  <si>
    <t>nojdar.saeed@Students.auk.edu.krd</t>
  </si>
  <si>
    <t>Rahma Sardar</t>
  </si>
  <si>
    <t>rahma.sardar@Students.auk.edu.krd</t>
  </si>
  <si>
    <t>Randa Shamoon</t>
  </si>
  <si>
    <t>randa.shamoon@Students.auk.edu.krd</t>
  </si>
  <si>
    <t>Reekan Farsat</t>
  </si>
  <si>
    <t>reekan.farsat@Students.auk.edu.krd</t>
  </si>
  <si>
    <t>Reving Rashid</t>
  </si>
  <si>
    <t>reving.rashid@students.auk.edu.krd</t>
  </si>
  <si>
    <t>Roje Jamil</t>
  </si>
  <si>
    <t>roje.jamil@Students.auk.edu.krd</t>
  </si>
  <si>
    <t>Rojeen Ismael</t>
  </si>
  <si>
    <t>rojeen.ismael@students.auk.edu.krd</t>
  </si>
  <si>
    <t>Sabri Mohammed Tahir</t>
  </si>
  <si>
    <t>sabri.mohammedtahir@students.auk.edu.krd</t>
  </si>
  <si>
    <t>Safeen Dlwvan</t>
  </si>
  <si>
    <t>safeen.dlwvan@Students.auk.edu.krd</t>
  </si>
  <si>
    <t>Sarwa Sabir</t>
  </si>
  <si>
    <t>sarwa.sabir@Students.auk.edu.krd</t>
  </si>
  <si>
    <t>Shahlan MohammedTaher</t>
  </si>
  <si>
    <t>shahlan.mohammedtaher@students.auk.edu.krd</t>
  </si>
  <si>
    <t>Shana Imad</t>
  </si>
  <si>
    <t>shana.imad@Students.auk.edu.krd</t>
  </si>
  <si>
    <t>Shandar Hishyar</t>
  </si>
  <si>
    <t>shandar.hishyar@Students.auk.edu.krd</t>
  </si>
  <si>
    <t>Sharmin Ismael</t>
  </si>
  <si>
    <t>sharmin.ismael@students.auk.edu.krd</t>
  </si>
  <si>
    <t>Shevin Rizgar</t>
  </si>
  <si>
    <t>shevin.rizgar@students.auk.edu.krd</t>
  </si>
  <si>
    <t>Shilan Sharif</t>
  </si>
  <si>
    <t>shilan.sharif@students.auk.edu.krd</t>
  </si>
  <si>
    <t>Shirava Moayed</t>
  </si>
  <si>
    <t>shirava.moayed@Students.auk.edu.krd</t>
  </si>
  <si>
    <t>Simyar Shawkat</t>
  </si>
  <si>
    <t>simyar.shawkat@Students.auk.edu.krd</t>
  </si>
  <si>
    <t>Siyar Fakhir</t>
  </si>
  <si>
    <t>siyar.fakhir@Students.auk.edu.krd</t>
  </si>
  <si>
    <t>Spede Mizuri</t>
  </si>
  <si>
    <t>spede.mizuri@Students.auk.edu.krd</t>
  </si>
  <si>
    <t>test test2</t>
  </si>
  <si>
    <t>test2@students.auk.edu.krd</t>
  </si>
  <si>
    <t>Vajeen Abdullatif</t>
  </si>
  <si>
    <t>vajeen.abdullatif@students.auk.edu.krd</t>
  </si>
  <si>
    <t>Warvan Farsat</t>
  </si>
  <si>
    <t>warvan.farsat@Students.auk.edu.krd</t>
  </si>
  <si>
    <t>Yasser Hassan</t>
  </si>
  <si>
    <t>yasser.hassan@students.auk.edu.krd</t>
  </si>
  <si>
    <t>Yousif Ashur</t>
  </si>
  <si>
    <t>yousif.ashur@students.auk.edu.krd</t>
  </si>
  <si>
    <t>Yousif Haji</t>
  </si>
  <si>
    <t>yousif.haji@Students.auk.edu.krd</t>
  </si>
  <si>
    <t>Zaid Faris</t>
  </si>
  <si>
    <t>zaid.faris@Students.auk.edu.krd</t>
  </si>
  <si>
    <t>Zainab Saad</t>
  </si>
  <si>
    <t>zainab.saad@Students.auk.edu.krd</t>
  </si>
  <si>
    <t>Zeravan Salman</t>
  </si>
  <si>
    <t>zeravan.salman@students.auk.edu.krd</t>
  </si>
  <si>
    <t>A21700474</t>
  </si>
  <si>
    <t>Lana Abdulrahman</t>
  </si>
  <si>
    <t>lana.abdulrahman@students.auk.edu.krd</t>
  </si>
  <si>
    <t>Ismail Ismail</t>
  </si>
  <si>
    <t>ismail.ismail@students.auk.edu.krd</t>
  </si>
  <si>
    <t>A21700470</t>
  </si>
  <si>
    <t>Mardin Saado</t>
  </si>
  <si>
    <t>mardin.saado@Students.auk.edu.krd</t>
  </si>
  <si>
    <t>Martin Yalda</t>
  </si>
  <si>
    <t>martin.yalda@students.auk.edu.krd</t>
  </si>
  <si>
    <t>Derbaz Khoshnaw</t>
  </si>
  <si>
    <t>derbaz.khoshnaw@students.auk.edu.krd</t>
  </si>
  <si>
    <t>Sirwan M. Sadeeq</t>
  </si>
  <si>
    <t>sirwan.msadeeq@Students.auk.edu.krd</t>
  </si>
  <si>
    <t>Meer Suleiman</t>
  </si>
  <si>
    <t>meer.suleiman@students.auk.edu.krd</t>
  </si>
  <si>
    <t>Milad Nasrullah</t>
  </si>
  <si>
    <t>milad.nasrullah@students.auk.edu.krd</t>
  </si>
  <si>
    <t>Karwan Rasheed</t>
  </si>
  <si>
    <t>karwan.rasheed@students.auk.edu.krd</t>
  </si>
  <si>
    <t>Daryush Miro</t>
  </si>
  <si>
    <t>daryush.miro@students.auk.edu.krd</t>
  </si>
  <si>
    <t>Bawar M.Emin</t>
  </si>
  <si>
    <t>bawar.memin@students.auk.edu.krd</t>
  </si>
  <si>
    <t>Ahmed Arif</t>
  </si>
  <si>
    <t>ahmed.arif@Students.auk.edu.krd</t>
  </si>
  <si>
    <t>Nicheervan Hussein</t>
  </si>
  <si>
    <t>nicheervan.hussein@students.auk.edu.krd</t>
  </si>
  <si>
    <t>Gantha Amanuel</t>
  </si>
  <si>
    <t>gantha.amanuel@students.auk.edu.krd</t>
  </si>
  <si>
    <t>Ismail-Sihad Kaya</t>
  </si>
  <si>
    <t>ismail-sihad.kaya@students.auk.edu.krd</t>
  </si>
  <si>
    <t>Tiba Abdulameer</t>
  </si>
  <si>
    <t>tiba.abdulameer@students.auk.edu.krd</t>
  </si>
  <si>
    <t>Linda Rasho</t>
  </si>
  <si>
    <t>linda.rasho@students.auk.edu.krd</t>
  </si>
  <si>
    <t>Dilshad Ahmed</t>
  </si>
  <si>
    <t>dilshad.ahmed@students.auk.edu.krd</t>
  </si>
  <si>
    <t>Lamo Karim</t>
  </si>
  <si>
    <t>lamo.karim@students.auk.edu.krd</t>
  </si>
  <si>
    <t>Mohammed AhmedAli</t>
  </si>
  <si>
    <t>mohammed.ahmedali@students.auk.edu.krd</t>
  </si>
  <si>
    <t>Mohammed Tahir</t>
  </si>
  <si>
    <t>mohammed.tahir@students.auk.edu.krd</t>
  </si>
  <si>
    <t>Sadeeq Taha</t>
  </si>
  <si>
    <t>sadeeq.taha@students.auk.edu.krd</t>
  </si>
  <si>
    <t>Ibrahim Ibrahim</t>
  </si>
  <si>
    <t>ibrahim.ibrahim@students.auk.edu.krd</t>
  </si>
  <si>
    <t>Dilman M.Ameen</t>
  </si>
  <si>
    <t>dilman.mameen@Students.auk.edu.krd</t>
  </si>
  <si>
    <t>Sarbast Issa</t>
  </si>
  <si>
    <t>sarbast.issa@students.auk.edu.krd</t>
  </si>
  <si>
    <t>Mehvan Haji</t>
  </si>
  <si>
    <t>mehvan.haji@students.auk.edu.krd</t>
  </si>
  <si>
    <t>Zahra Omar</t>
  </si>
  <si>
    <t>zahra.omar@students.auk.edu.krd</t>
  </si>
  <si>
    <t>Olevea Zaya</t>
  </si>
  <si>
    <t>olevea.zaya@students.auk.edu.krd</t>
  </si>
  <si>
    <t>Hussni Hussni</t>
  </si>
  <si>
    <t>hussni.hussni@students.auk.edu.krd</t>
  </si>
  <si>
    <t>Ali Murad</t>
  </si>
  <si>
    <t>ali.murad@students.auk.edu.krd</t>
  </si>
  <si>
    <t>Zrian Yousif</t>
  </si>
  <si>
    <t>zrian.yousif@students.auk.edu.krd</t>
  </si>
  <si>
    <t>Sidad Hassan</t>
  </si>
  <si>
    <t>sidad.hassan@students.auk.edu.krd</t>
  </si>
  <si>
    <t>Mohammed Sulaiman</t>
  </si>
  <si>
    <t>mohammed.sulaiman@Students.auk.edu.krd</t>
  </si>
  <si>
    <t>Aheen Haji</t>
  </si>
  <si>
    <t>aheen.haji@students.auk.edu.krd</t>
  </si>
  <si>
    <t>Ali Kurdi</t>
  </si>
  <si>
    <t>ali.kurdi@students.auk.edu.krd</t>
  </si>
  <si>
    <t>Masoud Abdulkhaliq</t>
  </si>
  <si>
    <t>masoud.abdulkhaliq@students.auk.edu.krd</t>
  </si>
  <si>
    <t>Kovan Mohammed</t>
  </si>
  <si>
    <t>kovan.mohammed@students.auk.edu.krd</t>
  </si>
  <si>
    <t>Anas Kakil</t>
  </si>
  <si>
    <t>anas.kakil@students.auk.edu.krd</t>
  </si>
  <si>
    <t>Nichirvan Hasan</t>
  </si>
  <si>
    <t>nichirvan.hasan@students.auk.edu.krd</t>
  </si>
  <si>
    <t>Reger Tawfeeq</t>
  </si>
  <si>
    <t>reger.tawfeeq@students.auk.edu.krd</t>
  </si>
  <si>
    <t>Ilham Taha</t>
  </si>
  <si>
    <t>ilham.taha@students.auk.edu.krd</t>
  </si>
  <si>
    <t>Dastan Pirmos</t>
  </si>
  <si>
    <t>dastan.pirmos@students.auk.edu.krd</t>
  </si>
  <si>
    <t>Warden Salih</t>
  </si>
  <si>
    <t>warden.salih@students.auk.edu.krd</t>
  </si>
  <si>
    <t>Dizhwar Haidar</t>
  </si>
  <si>
    <t>dizhwar.haidar@students.auk.edu.krd</t>
  </si>
  <si>
    <t>Bewar Tamar</t>
  </si>
  <si>
    <t>bewar.tamar@Students.auk.edu.krd</t>
  </si>
  <si>
    <t>Dilkhaz Ismael</t>
  </si>
  <si>
    <t>dilkhaz.ismael@students.auk.edu.krd</t>
  </si>
  <si>
    <t>Galoan Mousa</t>
  </si>
  <si>
    <t>galoan.mousa@students.auk.edu.krd</t>
  </si>
  <si>
    <t>Taha Taha</t>
  </si>
  <si>
    <t>taha.taha@students.auk.edu.krd</t>
  </si>
  <si>
    <t>Mehvan Shaban</t>
  </si>
  <si>
    <t>mehvan.shaban@students.auk.edu.krd</t>
  </si>
  <si>
    <t>Khorsheed Rasheed</t>
  </si>
  <si>
    <t>khorsheed.rasheed@students.auk.edu.krd</t>
  </si>
  <si>
    <t>Farhad Jader</t>
  </si>
  <si>
    <t>farhad.jader@Students.auk.edu.krd</t>
  </si>
  <si>
    <t>Faiz Hassan</t>
  </si>
  <si>
    <t>faiz.hassan@students.auk.edu.krd</t>
  </si>
  <si>
    <t>Nibar Saleem</t>
  </si>
  <si>
    <t>nibar.saleem@students.auk.edu.krd</t>
  </si>
  <si>
    <t>Safa Adnan</t>
  </si>
  <si>
    <t>safa.adnan@students.auk.edu.krd</t>
  </si>
  <si>
    <t>Alaa Mahmood</t>
  </si>
  <si>
    <t>alaa.mahmood@students.auk.edu.krd</t>
  </si>
  <si>
    <t>Tinah Sabri</t>
  </si>
  <si>
    <t>tinah.sabri@students.auk.edu.krd</t>
  </si>
  <si>
    <t>Resan Obaid</t>
  </si>
  <si>
    <t>resan.obaid@students.auk.edu.krd</t>
  </si>
  <si>
    <t>A21700396</t>
  </si>
  <si>
    <t>Ahmed Khalid</t>
  </si>
  <si>
    <t>ahmed.khalid@students.auk.edu.krd</t>
  </si>
  <si>
    <t>Ari Hameed</t>
  </si>
  <si>
    <t>ari.hameed@students.auk.edu.krd</t>
  </si>
  <si>
    <t>Niwar Buhaadeen</t>
  </si>
  <si>
    <t>niwar.buhaadeen@students.auk.edu.krd</t>
  </si>
  <si>
    <t>Lehat Taqialdain</t>
  </si>
  <si>
    <t>lehat.taqialdain@students.auk.edu.krd</t>
  </si>
  <si>
    <t>Kamel Mahmoud</t>
  </si>
  <si>
    <t>kamel.mahmoud@students.auk.edu.krd</t>
  </si>
  <si>
    <t>Kaman Hussein</t>
  </si>
  <si>
    <t>kaman.hussein@students.auk.edu.krd</t>
  </si>
  <si>
    <t>Sarhad MohammedHassan</t>
  </si>
  <si>
    <t>sarhad.mohammedhassan@students.auk.edu.krd</t>
  </si>
  <si>
    <t>Beyaf Nayif</t>
  </si>
  <si>
    <t>beyaf.nayif@students.auk.edu.krd</t>
  </si>
  <si>
    <t>Nadeen Tatar</t>
  </si>
  <si>
    <t>nadeen.tatar@students.auk.edu.krd</t>
  </si>
  <si>
    <t>Ahmed Ahmed</t>
  </si>
  <si>
    <t>ahmed.ahmed@students.auk.edu.krd</t>
  </si>
  <si>
    <t>Shirwan Murad</t>
  </si>
  <si>
    <t>shirwan.murad@students.auk.edu.krd</t>
  </si>
  <si>
    <t>Haron Abdullah</t>
  </si>
  <si>
    <t>haron.abdullah@students.auk.edu.krd</t>
  </si>
  <si>
    <t>Rezheen Sarhan</t>
  </si>
  <si>
    <t>rezheen.sarhan@students.auk.edu.krd</t>
  </si>
  <si>
    <t>Kamiran Mohammed</t>
  </si>
  <si>
    <t>kamiran.mohammed@students.auk.edu.krd</t>
  </si>
  <si>
    <t>Kawa Ahmed</t>
  </si>
  <si>
    <t>kawa.ahmed@students.auk.edu.krd</t>
  </si>
  <si>
    <t>Kaveen Ibrahim</t>
  </si>
  <si>
    <t>kaveen.ibrahim@students.auk.edu.krd</t>
  </si>
  <si>
    <t>Sizar Taher</t>
  </si>
  <si>
    <t>sizar.taher@Students.auk.edu.krd</t>
  </si>
  <si>
    <t>Nafi Abdullah</t>
  </si>
  <si>
    <t>nafi.abdullah@students.auk.edu.krd</t>
  </si>
  <si>
    <t>Helien Mohammed</t>
  </si>
  <si>
    <t>helien.mohammed@students.auk.edu.krd</t>
  </si>
  <si>
    <t>Fatima Othman</t>
  </si>
  <si>
    <t>fatima.othman@students.auk.edu.krd</t>
  </si>
  <si>
    <t>Noorhan Taha</t>
  </si>
  <si>
    <t>noorhan.taha@students.auk.edu.krd</t>
  </si>
  <si>
    <t>Masror Khalid</t>
  </si>
  <si>
    <t>masror.khalid@students.auk.edu.krd</t>
  </si>
  <si>
    <t>Ayman Younis</t>
  </si>
  <si>
    <t>ayman.younis@students.auk.edu.krd</t>
  </si>
  <si>
    <t>Shirwan M.Salih</t>
  </si>
  <si>
    <t>shirwan.msalih@students.auk.edu.krd</t>
  </si>
  <si>
    <t>Randa Jaafar</t>
  </si>
  <si>
    <t>randa.jaafar@students.auk.edu.krd</t>
  </si>
  <si>
    <t>Ala MohammedAli</t>
  </si>
  <si>
    <t>ala.mohammedali@students.auk.edu.krd</t>
  </si>
  <si>
    <t>Kajin Khalil</t>
  </si>
  <si>
    <t>kajin.khalil@Students.auk.edu.krd</t>
  </si>
  <si>
    <t>Dilovan Hessein</t>
  </si>
  <si>
    <t>dilovan.hessein@students.auk.edu.krd</t>
  </si>
  <si>
    <t>Taziya Tatar</t>
  </si>
  <si>
    <t>taziya.tatar@students.auk.edu.krd</t>
  </si>
  <si>
    <t>Aram Chalabi</t>
  </si>
  <si>
    <t>aram.chalabi@students.auk.edu.krd</t>
  </si>
  <si>
    <t>Rama Baito</t>
  </si>
  <si>
    <t>rama.baito@students.auk.edu.krd</t>
  </si>
  <si>
    <t>Saja Dawod</t>
  </si>
  <si>
    <t>saja.dawod@students.auk.edu.krd</t>
  </si>
  <si>
    <t>Irfan Shaban</t>
  </si>
  <si>
    <t>irfan.shaban@students.auk.edu.krd</t>
  </si>
  <si>
    <t>A21700354</t>
  </si>
  <si>
    <t>Kawar Ramadhan</t>
  </si>
  <si>
    <t>kawar.ramadhan@students.auk.edu.krd</t>
  </si>
  <si>
    <t>Mustafa Salih</t>
  </si>
  <si>
    <t>mustafa.salih@students.auk.edu.krd</t>
  </si>
  <si>
    <t>A21700351</t>
  </si>
  <si>
    <t>Hasan Kadhim</t>
  </si>
  <si>
    <t>hasan.kadhim@students.auk.edu.krd</t>
  </si>
  <si>
    <t>Bewar Ibrahim</t>
  </si>
  <si>
    <t>bewar.ibrahim@Students.auk.edu.krd</t>
  </si>
  <si>
    <t>Avan MohammedSalih</t>
  </si>
  <si>
    <t>avan.mohammedsalih@Students.auk.edu.krd</t>
  </si>
  <si>
    <t>Roma Barzani</t>
  </si>
  <si>
    <t>roma.barzani@students.auk.edu.krd</t>
  </si>
  <si>
    <t>Abdulhadi Abdulaziz</t>
  </si>
  <si>
    <t>abdulhadi.abdulaziz@students.auk.edu.krd</t>
  </si>
  <si>
    <t>Ameer Sideeq</t>
  </si>
  <si>
    <t>ameer.sideeq@Students.auk.edu.krd</t>
  </si>
  <si>
    <t>Fatimah Ahmed</t>
  </si>
  <si>
    <t>fatimah.ahmed@students.auk.edu.krd</t>
  </si>
  <si>
    <t>Shirak Bathyon</t>
  </si>
  <si>
    <t>shirak.bathyon@students.auk.edu.krd</t>
  </si>
  <si>
    <t>Qahraman Ahmed</t>
  </si>
  <si>
    <t>qahraman.ahmed@students.auk.edu.krd</t>
  </si>
  <si>
    <t>Iman Abdulhamid</t>
  </si>
  <si>
    <t>iman.abdulhamid@students.auk.edu.krd</t>
  </si>
  <si>
    <t>Aras Ramadhan</t>
  </si>
  <si>
    <t>aras.ramadhan@students.auk.edu.krd</t>
  </si>
  <si>
    <t>Gulistan Hafdo</t>
  </si>
  <si>
    <t>gulistan.hafdo@students.auk.edu.krd</t>
  </si>
  <si>
    <t>Adnan Lazgin</t>
  </si>
  <si>
    <t>adnan.lazgin@Students.auk.edu.krd</t>
  </si>
  <si>
    <t>Mateen Ibrahim</t>
  </si>
  <si>
    <t>mateen.ibrahim@students.auk.edu.krd</t>
  </si>
  <si>
    <t>Mohammed Ali</t>
  </si>
  <si>
    <t>mohammed.ali@students.auk.edu.krd</t>
  </si>
  <si>
    <t>Ahmed Ramadhan</t>
  </si>
  <si>
    <t>ahmed.ramadhan@students.auk.edu.krd</t>
  </si>
  <si>
    <t>Forat Jirjees</t>
  </si>
  <si>
    <t>forat.jirjees@students.auk.edu.krd</t>
  </si>
  <si>
    <t>Viyan Ilyas</t>
  </si>
  <si>
    <t>viyan.ilyas@students.auk.edu.krd</t>
  </si>
  <si>
    <t>Herish Basy</t>
  </si>
  <si>
    <t>herish.basy@students.auk.edu.krd</t>
  </si>
  <si>
    <t>Gorgees  Yohana</t>
  </si>
  <si>
    <t>gorgees.yohana@students.auk.edu.krd</t>
  </si>
  <si>
    <t>Diyar M.Naji</t>
  </si>
  <si>
    <t>diyar.mnaji@students.auk.edu.krd</t>
  </si>
  <si>
    <t>Haiv Jafer</t>
  </si>
  <si>
    <t>haiv.jafer@students.auk.edu.krd</t>
  </si>
  <si>
    <t>Kardokh Ali</t>
  </si>
  <si>
    <t>kardokh.ali@students.auk.edu.krd</t>
  </si>
  <si>
    <t>Sara Ismael</t>
  </si>
  <si>
    <t>sara.ismael@students.auk.edu.krd</t>
  </si>
  <si>
    <t>Elaf Hussein</t>
  </si>
  <si>
    <t>elaf.hussein@students.auk.edu.krd</t>
  </si>
  <si>
    <t>Nor Ibrahim</t>
  </si>
  <si>
    <t>nor.ibrahim@students.auk.edu.krd</t>
  </si>
  <si>
    <t>Malk M.Ameen</t>
  </si>
  <si>
    <t>malk.mameen@students.auk.edu.krd</t>
  </si>
  <si>
    <t>Nibar M.Salih</t>
  </si>
  <si>
    <t>nibar.msalih@students.auk.edu.krd</t>
  </si>
  <si>
    <t>Khairullah M.Salih</t>
  </si>
  <si>
    <t>khairullah.msalih@students.auk.edu.krd</t>
  </si>
  <si>
    <t>Alyan Mohammed</t>
  </si>
  <si>
    <t>alyan.mohammed@students.auk.edu.krd</t>
  </si>
  <si>
    <t>Sarok Abdullah</t>
  </si>
  <si>
    <t>sarok.abdullah@students.auk.edu.krd</t>
  </si>
  <si>
    <t>Alind Ali</t>
  </si>
  <si>
    <t>alind.ali@students.auk.edu.krd</t>
  </si>
  <si>
    <t>Omran Michael</t>
  </si>
  <si>
    <t>omran.michael@students.auk.edu.krd</t>
  </si>
  <si>
    <t>Lana Mustafa</t>
  </si>
  <si>
    <t>lana.mustafa@Students.auk.edu.krd</t>
  </si>
  <si>
    <t>Bawar Khalid</t>
  </si>
  <si>
    <t>bawar.khalid@students.auk.edu.krd</t>
  </si>
  <si>
    <t>Derbaz Omar</t>
  </si>
  <si>
    <t>derbaz.omar@students.auk.edu.krd</t>
  </si>
  <si>
    <t>Sulaiman Sulaiman</t>
  </si>
  <si>
    <t>sulaiman.sulaiman@students.auk.edu.krd</t>
  </si>
  <si>
    <t>Khider Khider</t>
  </si>
  <si>
    <t>khider.khider@students.auk.edu.krd</t>
  </si>
  <si>
    <t>Murad Shukri</t>
  </si>
  <si>
    <t>murad.shukri@Students.auk.edu.krd</t>
  </si>
  <si>
    <t>Nyaz Hameed</t>
  </si>
  <si>
    <t>nyaz.hameed@students.auk.edu.krd</t>
  </si>
  <si>
    <t>Halat Mohammed</t>
  </si>
  <si>
    <t>halat.mohammed@students.auk.edu.krd</t>
  </si>
  <si>
    <t>Mirdin Mohammed</t>
  </si>
  <si>
    <t>mirdin.mohammed@students.auk.edu.krd</t>
  </si>
  <si>
    <t>Saman Hussein</t>
  </si>
  <si>
    <t>saman.hussein@students.auk.edu.krd</t>
  </si>
  <si>
    <t>Savio George</t>
  </si>
  <si>
    <t>savio.george@students.auk.edu.krd</t>
  </si>
  <si>
    <t>Akad Mikhaeel</t>
  </si>
  <si>
    <t>akad.mikhaeel@students.auk.edu.krd</t>
  </si>
  <si>
    <t>Mohammed Ahmed</t>
  </si>
  <si>
    <t>mohammed.ahmed@students.auk.edu.krd</t>
  </si>
  <si>
    <t>Isho Kiwarkis</t>
  </si>
  <si>
    <t>isho.kiwarkis@students.auk.edu.krd</t>
  </si>
  <si>
    <t>Vina Azad</t>
  </si>
  <si>
    <t>vina.azad@students.auk.edu.krd</t>
  </si>
  <si>
    <t>Ahmed Shamisadeen</t>
  </si>
  <si>
    <t>ahmed.shamisadeen@students.auk.edu.krd</t>
  </si>
  <si>
    <t>Ramin Hali</t>
  </si>
  <si>
    <t>ramin.hali@students.auk.edu.krd</t>
  </si>
  <si>
    <t>Shadi Ahmed</t>
  </si>
  <si>
    <t>shadi.ahmed@students.auk.edu.krd</t>
  </si>
  <si>
    <t>Ali Ali</t>
  </si>
  <si>
    <t>ali.ali@students.auk.edu.krd</t>
  </si>
  <si>
    <t>Hiba Madhi</t>
  </si>
  <si>
    <t>hiba.madhi@Students.auk.edu.krd</t>
  </si>
  <si>
    <t>Ahmed Mustafa</t>
  </si>
  <si>
    <t>ahmed.mustafa@students.auk.edu.krd</t>
  </si>
  <si>
    <t>Sozan Osman</t>
  </si>
  <si>
    <t>sozan.osman@Students.auk.edu.krd</t>
  </si>
  <si>
    <t>Karzan Ahmed</t>
  </si>
  <si>
    <t>karzan.ahmed@students.auk.edu.krd</t>
  </si>
  <si>
    <t>Zeravan Housin</t>
  </si>
  <si>
    <t>zeravan.housin@students.auk.edu.krd</t>
  </si>
  <si>
    <t>Rawind Amin</t>
  </si>
  <si>
    <t>rawind.amin@students.auk.edu.krd</t>
  </si>
  <si>
    <t>Aveen Abdulghafoor</t>
  </si>
  <si>
    <t>aveen.abdulghafoor@Students.auk.edu.krd</t>
  </si>
  <si>
    <t>Hussein Kak Ahmed</t>
  </si>
  <si>
    <t>hussein.kakahmed@students.auk.edu.krd</t>
  </si>
  <si>
    <t>Hazheen Baderkhan</t>
  </si>
  <si>
    <t>hazheen.baderkhan@Students.auk.edu.krd</t>
  </si>
  <si>
    <t>Maryna Azeez</t>
  </si>
  <si>
    <t>maryna.azeez@students.auk.edu.krd</t>
  </si>
  <si>
    <t>Mohammed Khorsheed</t>
  </si>
  <si>
    <t>mohammed.khorsheed@students.auk.edu.krd</t>
  </si>
  <si>
    <t>Faris Yousif</t>
  </si>
  <si>
    <t>faris.yousif@students.auk.edu.krd</t>
  </si>
  <si>
    <t>Zeen Moneb</t>
  </si>
  <si>
    <t>zeen.moneb@students.auk.edu.krd</t>
  </si>
  <si>
    <t>Seerwan Qasim</t>
  </si>
  <si>
    <t>seerwan.qasim@students.auk.edu.krd</t>
  </si>
  <si>
    <t>Sermed Barzani</t>
  </si>
  <si>
    <t>sermed.barzani@students.auk.edu.krd</t>
  </si>
  <si>
    <t>Sakvan Naser</t>
  </si>
  <si>
    <t>sakvan.naser@students.auk.edu.krd</t>
  </si>
  <si>
    <t>Sarbast Mohammed</t>
  </si>
  <si>
    <t>sarbast.mohammed@students.auk.edu.krd</t>
  </si>
  <si>
    <t>Sarwan Osman</t>
  </si>
  <si>
    <t>sarwan.osman@students.auk.edu.krd</t>
  </si>
  <si>
    <t>Bekas Tayib</t>
  </si>
  <si>
    <t>bekas.tayib@students.auk.edu.krd</t>
  </si>
  <si>
    <t>Walat Mohammed</t>
  </si>
  <si>
    <t>walat.mohammed@Students.auk.edu.krd</t>
  </si>
  <si>
    <t>Rondik Ahmed</t>
  </si>
  <si>
    <t>rondik.ahmed@students.auk.edu.krd</t>
  </si>
  <si>
    <t>Mahmood Ramadhan</t>
  </si>
  <si>
    <t>mahmood.ramadhan@students.auk.edu.krd</t>
  </si>
  <si>
    <t>Sipal Salih</t>
  </si>
  <si>
    <t>sipal.salih@students.auk.edu.krd</t>
  </si>
  <si>
    <t>Vin Mohammed</t>
  </si>
  <si>
    <t>vin.mohammed@students.auk.edu.krd</t>
  </si>
  <si>
    <t>Fadi Hurmiz</t>
  </si>
  <si>
    <t>fadi.hurmiz@students.auk.edu.krd</t>
  </si>
  <si>
    <t>Nawzad Abdulhameed</t>
  </si>
  <si>
    <t>nawzad.abdulhameed@students.auk.edu.krd</t>
  </si>
  <si>
    <t>Kamiran Salim</t>
  </si>
  <si>
    <t>kamiran.salim@students.auk.edu.krd</t>
  </si>
  <si>
    <t>Ibrahim Hasan</t>
  </si>
  <si>
    <t>ibrahim.hasan@students.auk.edu.krd</t>
  </si>
  <si>
    <t>Imad YousIf</t>
  </si>
  <si>
    <t>imad.yousif@students.auk.edu.krd</t>
  </si>
  <si>
    <t>Fahed Darbas</t>
  </si>
  <si>
    <t>fahed.darbas@students.auk.edu.krd</t>
  </si>
  <si>
    <t>Barzan Ramadhan</t>
  </si>
  <si>
    <t>barzan.ramadhan@students.auk.edu.krd</t>
  </si>
  <si>
    <t>Ranya Khudher</t>
  </si>
  <si>
    <t>ranya.khudher@students.auk.edu.krd</t>
  </si>
  <si>
    <t>Shileer Hussein</t>
  </si>
  <si>
    <t>shileer.hussein@students.auk.edu.krd</t>
  </si>
  <si>
    <t>Sawsan Muhammed</t>
  </si>
  <si>
    <t>sawsan.muhammed@students.auk.edu.krd</t>
  </si>
  <si>
    <t>Mohammed Khalid</t>
  </si>
  <si>
    <t>mohammed.khalid@students.auk.edu.krd</t>
  </si>
  <si>
    <t>Karam Naef</t>
  </si>
  <si>
    <t>karam.naef@students.auk.edu.krd</t>
  </si>
  <si>
    <t>Omran Sarhan</t>
  </si>
  <si>
    <t>omran.sarhan@students.auk.edu.krd</t>
  </si>
  <si>
    <t>Aidin Saleem</t>
  </si>
  <si>
    <t>aidin.saleem@students.auk.edu.krd</t>
  </si>
  <si>
    <t>Belind Mohammed</t>
  </si>
  <si>
    <t>belind.mohammed@students.auk.edu.krd</t>
  </si>
  <si>
    <t>Zaid Najman</t>
  </si>
  <si>
    <t>zaid.najman@students.auk.edu.krd</t>
  </si>
  <si>
    <t>Barzan Mustafa</t>
  </si>
  <si>
    <t>barzan.mustafa@students.auk.edu.krd</t>
  </si>
  <si>
    <t>Zhiyar Abdulrahman</t>
  </si>
  <si>
    <t>zhiyar.abdulrahman@students.auk.edu.krd</t>
  </si>
  <si>
    <t>Suad SalahAldin</t>
  </si>
  <si>
    <t>suad.salahaldin@students.auk.edu.krd</t>
  </si>
  <si>
    <t>Ari Qasim</t>
  </si>
  <si>
    <t>ari.qasim@students.auk.edu.krd</t>
  </si>
  <si>
    <t>Mohammed Darbas</t>
  </si>
  <si>
    <t>mohammed.darbas@students.auk.edu.krd</t>
  </si>
  <si>
    <t>Sherwan Yousif</t>
  </si>
  <si>
    <t>sherwan.yousif@students.auk.edu.krd</t>
  </si>
  <si>
    <t>Harith Hussein</t>
  </si>
  <si>
    <t>harith.hussein@students.auk.edu.krd</t>
  </si>
  <si>
    <t>Alnd Morad</t>
  </si>
  <si>
    <t>alnd.morad@students.auk.edu.krd</t>
  </si>
  <si>
    <t>Mohammed Dino</t>
  </si>
  <si>
    <t>mohammed.dino@students.auk.edu.krd</t>
  </si>
  <si>
    <t>Karwan Taha</t>
  </si>
  <si>
    <t>karwan.taha@students.auk.edu.krd</t>
  </si>
  <si>
    <t>Yasa Saleem</t>
  </si>
  <si>
    <t>yasa.saleem@students.auk.edu.krd</t>
  </si>
  <si>
    <t>Zana Khaled</t>
  </si>
  <si>
    <t>zana.khaled@students.auk.edu.krd</t>
  </si>
  <si>
    <t>Wafaa Hassan</t>
  </si>
  <si>
    <t>wafaa.hassan@students.auk.edu.krd</t>
  </si>
  <si>
    <t>Mohammed Majeed</t>
  </si>
  <si>
    <t>mohammed.majeed@students.auk.edu.krd</t>
  </si>
  <si>
    <t>Mivan Haji</t>
  </si>
  <si>
    <t>mivan.haji@students.auk.edu.krd</t>
  </si>
  <si>
    <t>Khabat Hameed</t>
  </si>
  <si>
    <t>khabat.hameed@students.auk.edu.krd</t>
  </si>
  <si>
    <t>Nizar Yousif</t>
  </si>
  <si>
    <t>nizar.yousif@students.auk.edu.krd</t>
  </si>
  <si>
    <t>Rezan Mousa</t>
  </si>
  <si>
    <t>rezan.mousa@students.auk.edu.krd</t>
  </si>
  <si>
    <t>Mohammed Haji</t>
  </si>
  <si>
    <t>mohammed.haji@students.auk.edu.krd</t>
  </si>
  <si>
    <t>Ayas Fattah</t>
  </si>
  <si>
    <t>ayas.fattah@students.auk.edu.krd</t>
  </si>
  <si>
    <t>Jivan Haji</t>
  </si>
  <si>
    <t>jivan.haji@students.auk.edu.krd</t>
  </si>
  <si>
    <t>Shireen M.Saeed</t>
  </si>
  <si>
    <t>shireen.msaeed@students.auk.edu.krd</t>
  </si>
  <si>
    <t>Furat Tayar</t>
  </si>
  <si>
    <t>furat.tayar@Students.auk.edu.krd</t>
  </si>
  <si>
    <t>Midya Hasan</t>
  </si>
  <si>
    <t>midya.hasan@students.auk.edu.krd</t>
  </si>
  <si>
    <t>Shaheed Ahmed</t>
  </si>
  <si>
    <t>shaheed.ahmed@students.auk.edu.krd</t>
  </si>
  <si>
    <t>Araz Mahmood</t>
  </si>
  <si>
    <t>araz.mahmood@students.auk.edu.krd</t>
  </si>
  <si>
    <t>Mohammed M.Ali</t>
  </si>
  <si>
    <t>mohammed.mali@students.auk.edu.krd</t>
  </si>
  <si>
    <t>Karoj Mohammad</t>
  </si>
  <si>
    <t>karoj.mohammad@students.auk.edu.krd</t>
  </si>
  <si>
    <t>Tiroj Hassan</t>
  </si>
  <si>
    <t>tiroj.hassan@students.auk.edu.krd</t>
  </si>
  <si>
    <t>Reman MohammedSaid</t>
  </si>
  <si>
    <t>reman.mohammedsaid@students.auk.edu.krd</t>
  </si>
  <si>
    <t>Ayin Hussein</t>
  </si>
  <si>
    <t>ayin.hussein@students.auk.edu.krd</t>
  </si>
  <si>
    <t>Alan Shaheen</t>
  </si>
  <si>
    <t>alan.shaheen@students.auk.edu.krd</t>
  </si>
  <si>
    <t>Shaker Mohammed</t>
  </si>
  <si>
    <t>shaker.mohammed@students.auk.edu.krd</t>
  </si>
  <si>
    <t>Sarwar  Tawfeeq</t>
  </si>
  <si>
    <t>sarwar.tawfeeq@students.auk.edu.krd</t>
  </si>
  <si>
    <t>Nijirvan Yousif</t>
  </si>
  <si>
    <t>nijirvan.yousif@students.auk.edu.krd</t>
  </si>
  <si>
    <t>Zindan Yousif</t>
  </si>
  <si>
    <t>zindan.yousif@students.auk.edu.krd</t>
  </si>
  <si>
    <t>Hizhyan Mohammed</t>
  </si>
  <si>
    <t>hizhyan.mohammed@students.auk.edu.krd</t>
  </si>
  <si>
    <t>Lana Zibari</t>
  </si>
  <si>
    <t>lana.zibari@Students.auk.edu.krd</t>
  </si>
  <si>
    <t>Dejin Salih</t>
  </si>
  <si>
    <t>dejin.salih@Students.auk.edu.krd</t>
  </si>
  <si>
    <t>Jehat Safer</t>
  </si>
  <si>
    <t>jehat.safer@students.auk.edu.krd</t>
  </si>
  <si>
    <t>Hazrin Babakr</t>
  </si>
  <si>
    <t>hazrin.babakr@students.auk.edu.krd</t>
  </si>
  <si>
    <t>Neroj Abdulhameed</t>
  </si>
  <si>
    <t>neroj.abdulhameed@students.auk.edu.krd</t>
  </si>
  <si>
    <t>Omed Islam</t>
  </si>
  <si>
    <t>omed.islam@students.auk.edu.krd</t>
  </si>
  <si>
    <t>Diyar Tili</t>
  </si>
  <si>
    <t>diyar.tili@students.auk.edu.krd</t>
  </si>
  <si>
    <t>Kazheen Ramadhan</t>
  </si>
  <si>
    <t>kazheen.ramadhan@students.auk.edu.krd</t>
  </si>
  <si>
    <t>Sarhan Khishman</t>
  </si>
  <si>
    <t>sarhan.khishman@students.auk.edu.krd</t>
  </si>
  <si>
    <t>Sagvan Abdullah</t>
  </si>
  <si>
    <t>sagvan.abdullah@students.auk.edu.krd</t>
  </si>
  <si>
    <t>Hasan Taher Kareem</t>
  </si>
  <si>
    <t>hasan.taherkareem@students.auk.edu.krd</t>
  </si>
  <si>
    <t>Khalid Marwan</t>
  </si>
  <si>
    <t>khalid.marwan@students.auk.edu.krd</t>
  </si>
  <si>
    <t>Hussein Mohammed</t>
  </si>
  <si>
    <t>hussein.mohammed@students.auk.edu.krd</t>
  </si>
  <si>
    <t>Bahzad Hussein</t>
  </si>
  <si>
    <t>bahzad.hussein@Students.auk.edu.krd</t>
  </si>
  <si>
    <t>Mahmood Mohammed</t>
  </si>
  <si>
    <t>mahmood.mohammed@Students.auk.edu.krd</t>
  </si>
  <si>
    <t>Ahmed Abdulqadir</t>
  </si>
  <si>
    <t>ahmed.abdulqadir@Students.auk.edu.krd</t>
  </si>
  <si>
    <t>Diyar Abbas</t>
  </si>
  <si>
    <t>diyar.abbas@students.auk.edu.krd</t>
  </si>
  <si>
    <t>Bayar Saleem</t>
  </si>
  <si>
    <t>bayar.saleem@students.auk.edu.krd</t>
  </si>
  <si>
    <t>Ayad Muslih</t>
  </si>
  <si>
    <t>ayad.muslih@students.auk.edu.krd</t>
  </si>
  <si>
    <t>Abdur Tahir</t>
  </si>
  <si>
    <t>abdur.tahir@students.auk.edu.krd</t>
  </si>
  <si>
    <t>Zhiyan Abdullah</t>
  </si>
  <si>
    <t>zhiyan.abdullah@students.auk.edu.krd</t>
  </si>
  <si>
    <t>Hiner Zubair</t>
  </si>
  <si>
    <t>hiner.zubair@students.auk.edu.krd</t>
  </si>
  <si>
    <t>Omran Khaled</t>
  </si>
  <si>
    <t>omran.khaled@students.auk.edu.krd</t>
  </si>
  <si>
    <t>Viyan Omar</t>
  </si>
  <si>
    <t>viyan.omar@students.auk.edu.krd</t>
  </si>
  <si>
    <t>Diler Omar</t>
  </si>
  <si>
    <t>diler.omar@students.auk.edu.krd</t>
  </si>
  <si>
    <t>Ashraf Salim</t>
  </si>
  <si>
    <t>ashraf.salim@students.auk.edu.krd</t>
  </si>
  <si>
    <t>Rayan Sulaiman</t>
  </si>
  <si>
    <t>rayan.sulaiman@students.auk.edu.krd</t>
  </si>
  <si>
    <t>Aseel Hussein</t>
  </si>
  <si>
    <t>aseel.hussein@students.auk.edu.krd</t>
  </si>
  <si>
    <t>Jowan Sheekh Mosa</t>
  </si>
  <si>
    <t>jowan.sheekhmosa@students.auk.edu.krd</t>
  </si>
  <si>
    <t>Juhan Sheekh Mosa</t>
  </si>
  <si>
    <t>juhan.sheekhmosa@students.auk.edu.krd</t>
  </si>
  <si>
    <t>Tavreen Shaban</t>
  </si>
  <si>
    <t>tavreen.shaban@students.auk.edu.krd</t>
  </si>
  <si>
    <t>Mohammed Arif</t>
  </si>
  <si>
    <t>mohammed.arif@students.auk.edu.krd</t>
  </si>
  <si>
    <t>Waisi  Waisi</t>
  </si>
  <si>
    <t>waisi.waisi@students.auk.edu.krd</t>
  </si>
  <si>
    <t>Novin Waisi</t>
  </si>
  <si>
    <t>novin.waisi@students.auk.edu.krd</t>
  </si>
  <si>
    <t>Hemin Salih</t>
  </si>
  <si>
    <t>hemin.salih@students.auk.edu.krd</t>
  </si>
  <si>
    <t>Mawa Hussein</t>
  </si>
  <si>
    <t>mawa.hussein@students.auk.edu.krd</t>
  </si>
  <si>
    <t>Jagger Fatah</t>
  </si>
  <si>
    <t>jagger.fatah@students.auk.edu.krd</t>
  </si>
  <si>
    <t>Gwan Yousuf</t>
  </si>
  <si>
    <t>gwan.yousuf@students.auk.edu.krd</t>
  </si>
  <si>
    <t>Aya Hazim</t>
  </si>
  <si>
    <t>aya.hazim@students.auk.edu.krd</t>
  </si>
  <si>
    <t>Ayaz Khalil</t>
  </si>
  <si>
    <t>ayaz.khalil@students.auk.edu.krd</t>
  </si>
  <si>
    <t>Araz Saleem</t>
  </si>
  <si>
    <t>araz.saleem@students.auk.edu.krd</t>
  </si>
  <si>
    <t xml:space="preserve">Honer Iqbal </t>
  </si>
  <si>
    <t>honer.iqbal@students.auk.edu.krd</t>
  </si>
  <si>
    <t>Halah Ali</t>
  </si>
  <si>
    <t>halah.ali@students.auk.edu.krd</t>
  </si>
  <si>
    <t>Hendreen Yaseen</t>
  </si>
  <si>
    <t>hendreen.yaseen@students.auk.edu.krd</t>
  </si>
  <si>
    <t>Blind  MohammedSalih</t>
  </si>
  <si>
    <t>blind.mohammedsalih@students.auk.edu.krd</t>
  </si>
  <si>
    <t>Omer Ahmed</t>
  </si>
  <si>
    <t>omer.ahmed@students.auk.edu.krd</t>
  </si>
  <si>
    <t>Bland Diwali</t>
  </si>
  <si>
    <t>bland.diwali@students.auk.edu.krd</t>
  </si>
  <si>
    <t>Ahmad Ali</t>
  </si>
  <si>
    <t>ahmad.ali@students.auk.edu.krd</t>
  </si>
  <si>
    <t>Hogir Mohammed</t>
  </si>
  <si>
    <t>hogir.mohammed@students.auk.edu.krd</t>
  </si>
  <si>
    <t>Khuzi Omar</t>
  </si>
  <si>
    <t>khuzi.omar@Students.auk.edu.krd</t>
  </si>
  <si>
    <t>Sarbast M.Saleem</t>
  </si>
  <si>
    <t>sarbast.msaleem@students.auk.edu.krd</t>
  </si>
  <si>
    <t>Dilman Yousif</t>
  </si>
  <si>
    <t>dilman.yousif@students.auk.edu.krd</t>
  </si>
  <si>
    <t>Saman  Ismail</t>
  </si>
  <si>
    <t>saman.ismail@students.auk.edu.krd</t>
  </si>
  <si>
    <t>Rozh Mohammed</t>
  </si>
  <si>
    <t>rozh.mohammed@students.auk.edu.krd</t>
  </si>
  <si>
    <t>Saad Mohammed Salih</t>
  </si>
  <si>
    <t>saad.mohammedsalih@students.auk.edu.krd</t>
  </si>
  <si>
    <t>Mehvan  Ismael</t>
  </si>
  <si>
    <t>mehvan.ismael@students.auk.edu.krd</t>
  </si>
  <si>
    <t>Khalida Naser</t>
  </si>
  <si>
    <t>khalida.naser@students.auk.edu.krd</t>
  </si>
  <si>
    <t>Hevi Mahmood</t>
  </si>
  <si>
    <t>hevi.mahmood@students.auk.edu.krd</t>
  </si>
  <si>
    <t>Masoud Abo</t>
  </si>
  <si>
    <t>masoud.abo@students.auk.edu.krd</t>
  </si>
  <si>
    <t>Yara Shero</t>
  </si>
  <si>
    <t>yara.shero@students.auk.edu.krd</t>
  </si>
  <si>
    <t>Darvan Fatah</t>
  </si>
  <si>
    <t>darvan.fatah@Students.auk.edu.krd</t>
  </si>
  <si>
    <t>Amena Abdulhameed</t>
  </si>
  <si>
    <t>amena.abdulhameed@students.auk.edu.krd</t>
  </si>
  <si>
    <t>Kareem Ahmed</t>
  </si>
  <si>
    <t>kareem.ahmed@students.auk.edu.krd</t>
  </si>
  <si>
    <t>Valia Yaqo</t>
  </si>
  <si>
    <t>valia.yaqo@students.auk.edu.krd</t>
  </si>
  <si>
    <t>Shivan Mohammed</t>
  </si>
  <si>
    <t>shivan.mohammed@students.auk.edu.krd</t>
  </si>
  <si>
    <t>Diyana Hussein</t>
  </si>
  <si>
    <t>diyana.hussein@students.auk.edu.krd</t>
  </si>
  <si>
    <t>Sagvan Taher</t>
  </si>
  <si>
    <t>sagvan.taher@Students.auk.edu.krd</t>
  </si>
  <si>
    <t>Rozheen Abdulazeez</t>
  </si>
  <si>
    <t>rozheen.abdulazeez@students.auk.edu.krd</t>
  </si>
  <si>
    <t>Zanyar Mohammed</t>
  </si>
  <si>
    <t>zanyar.mohammed@students.auk.edu.krd</t>
  </si>
  <si>
    <t>Azad Abdullah Nacheem</t>
  </si>
  <si>
    <t>azad.abdullahnacheem@students.auk.edu.krd</t>
  </si>
  <si>
    <t>Karwan Younis</t>
  </si>
  <si>
    <t>karwan.younis@Students.auk.edu.krd</t>
  </si>
  <si>
    <t>Avrin Hamid</t>
  </si>
  <si>
    <t>avrin.hamid@students.auk.edu.krd</t>
  </si>
  <si>
    <t>Bawari Ramadhan</t>
  </si>
  <si>
    <t>bawari.ramadhan@students.auk.edu.krd</t>
  </si>
  <si>
    <t>Sarhad Mala Abd</t>
  </si>
  <si>
    <t>sarhad.malaabd@students.auk.edu.krd</t>
  </si>
  <si>
    <t>Jiwan Ramadhan</t>
  </si>
  <si>
    <t>jiwan.ramadhan@students.auk.edu.krd</t>
  </si>
  <si>
    <t>Safa Mohammed</t>
  </si>
  <si>
    <t>safa.mohammed@students.auk.edu.krd</t>
  </si>
  <si>
    <t>Kasoz Yazdeen</t>
  </si>
  <si>
    <t>kasoz.yazdeen@students.auk.edu.krd</t>
  </si>
  <si>
    <t>Alend Mahmood</t>
  </si>
  <si>
    <t>alend.mahmood@students.auk.edu.krd</t>
  </si>
  <si>
    <t>Rozh Taher</t>
  </si>
  <si>
    <t>rozh.taher@students.auk.edu.krd</t>
  </si>
  <si>
    <t>Soad Mam</t>
  </si>
  <si>
    <t>soad.mam@students.auk.edu.krd</t>
  </si>
  <si>
    <t>Aram Afdal</t>
  </si>
  <si>
    <t>aram.afdal@students.auk.edu.krd</t>
  </si>
  <si>
    <t>Mohammed Zaidan</t>
  </si>
  <si>
    <t>mohammed.zaidan@students.auk.edu.krd</t>
  </si>
  <si>
    <t>Heji Abdullah</t>
  </si>
  <si>
    <t>heji.abdullah@students.auk.edu.krd</t>
  </si>
  <si>
    <t>Barzan Hali</t>
  </si>
  <si>
    <t>barzan.hali@students.auk.edu.krd</t>
  </si>
  <si>
    <t>Shahrivan Babakr</t>
  </si>
  <si>
    <t>shahrivan.babakr@students.auk.edu.krd</t>
  </si>
  <si>
    <t>Zana Salih</t>
  </si>
  <si>
    <t>zana.salih@students.auk.edu.krd</t>
  </si>
  <si>
    <t>Shireen Saadon</t>
  </si>
  <si>
    <t>shireen.saadon@students.auk.edu.krd</t>
  </si>
  <si>
    <t>Chang Tahir</t>
  </si>
  <si>
    <t>chang.tahir@students.auk.edu.krd</t>
  </si>
  <si>
    <t>Rani Hussein</t>
  </si>
  <si>
    <t>rani.hussein@students.auk.edu.krd</t>
  </si>
  <si>
    <t>Dezheen Ahmed</t>
  </si>
  <si>
    <t>dezheen.ahmed@students.auk.edu.krd</t>
  </si>
  <si>
    <t>Vazheen Ibrahim</t>
  </si>
  <si>
    <t>vazheen.ibrahim@students.auk.edu.krd</t>
  </si>
  <si>
    <t>Muhtab M. Sadeeq</t>
  </si>
  <si>
    <t>muhtab.msadeeq@students.auk.edu.krd</t>
  </si>
  <si>
    <t>Aileen Ishaq</t>
  </si>
  <si>
    <t>aileen.ishaq@students.auk.edu.krd</t>
  </si>
  <si>
    <t>Zilan Hussein</t>
  </si>
  <si>
    <t>zilan.hussein@students.auk.edu.krd</t>
  </si>
  <si>
    <t>Sherko Fattah</t>
  </si>
  <si>
    <t>sherko.fattah@students.auk.edu.krd</t>
  </si>
  <si>
    <t>Van Mikhael</t>
  </si>
  <si>
    <t>van.mikhael@students.auk.edu.krd</t>
  </si>
  <si>
    <t>Hasan Qasim</t>
  </si>
  <si>
    <t>hasan.qasim@students.auk.edu.krd</t>
  </si>
  <si>
    <t>Omar Issa</t>
  </si>
  <si>
    <t>omar.issa@students.auk.edu.krd</t>
  </si>
  <si>
    <t>Gabo Shekho</t>
  </si>
  <si>
    <t>gabo.shekho@students.auk.edu.krd</t>
  </si>
  <si>
    <t>Barze Abdulkader</t>
  </si>
  <si>
    <t>barze.abdulkader@students.auk.edu.krd</t>
  </si>
  <si>
    <t>Joanna Majeed</t>
  </si>
  <si>
    <t>joanna.majeed@students.auk.edu.krd</t>
  </si>
  <si>
    <t>Omeed Hamdi</t>
  </si>
  <si>
    <t>omeed.hamdi@students.auk.edu.krd</t>
  </si>
  <si>
    <t>Mohammed Hairan</t>
  </si>
  <si>
    <t>mohammed.hairan@students.auk.edu.krd</t>
  </si>
  <si>
    <t>Hamza Abdulrahman</t>
  </si>
  <si>
    <t>hamza.abdulrahman@students.auk.edu.krd</t>
  </si>
  <si>
    <t>Roz Mohammed Taher</t>
  </si>
  <si>
    <t>roz.mohammedtaher@students.auk.edu.krd</t>
  </si>
  <si>
    <t>Abdullah Abdullah</t>
  </si>
  <si>
    <t>abdullah.abdullah@students.auk.edu.krd</t>
  </si>
  <si>
    <t>Nojdar Othman</t>
  </si>
  <si>
    <t>nojdar.othman@students.auk.edu.krd</t>
  </si>
  <si>
    <t>Zana Dewaly</t>
  </si>
  <si>
    <t>zana.dewaly@students.auk.edu.krd</t>
  </si>
  <si>
    <t>Loreen Mohammed</t>
  </si>
  <si>
    <t>loreen.mohammed@Students.auk.edu.krd</t>
  </si>
  <si>
    <t>Saman Jafer</t>
  </si>
  <si>
    <t>saman.jafer@students.auk.edu.krd</t>
  </si>
  <si>
    <t>Nisha Yaqoob</t>
  </si>
  <si>
    <t>nisha.yaqoob@students.auk.edu.krd</t>
  </si>
  <si>
    <t>Karzan Salih</t>
  </si>
  <si>
    <t>karzan.salih@students.auk.edu.krd</t>
  </si>
  <si>
    <t>Nihad Ali</t>
  </si>
  <si>
    <t>nihad.ali@students.auk.edu.krd</t>
  </si>
  <si>
    <t>Barzan Muhammd Salih</t>
  </si>
  <si>
    <t>barzan.muhammdsalih@students.auk.edu.krd</t>
  </si>
  <si>
    <t>Amad Muhammad</t>
  </si>
  <si>
    <t>amad.muhammad@students.auk.edu.krd</t>
  </si>
  <si>
    <t>Barzan Abdullah</t>
  </si>
  <si>
    <t>barzan.abdullah@students.auk.edu.krd</t>
  </si>
  <si>
    <t>Nawzad Mustafa</t>
  </si>
  <si>
    <t>nawzad.mustafa@students.auk.edu.krd</t>
  </si>
  <si>
    <t>Shaho Muhsin</t>
  </si>
  <si>
    <t>shaho.muhsin@students.auk.edu.krd</t>
  </si>
  <si>
    <t>Noran Ismael</t>
  </si>
  <si>
    <t>noran.ismael@students.auk.edu.krd</t>
  </si>
  <si>
    <t>Fadya Abdulwahid</t>
  </si>
  <si>
    <t>fadya.abdulwahid@students.auk.edu.krd</t>
  </si>
  <si>
    <t>Roj Hasan</t>
  </si>
  <si>
    <t>roj.hasan@students.auk.edu.krd</t>
  </si>
  <si>
    <t>Gulizar Abdullah</t>
  </si>
  <si>
    <t>gulizar.abdullah@students.auk.edu.krd</t>
  </si>
  <si>
    <t>Saif Khider</t>
  </si>
  <si>
    <t>saif.khider@students.auk.edu.krd</t>
  </si>
  <si>
    <t>Botan Shukir</t>
  </si>
  <si>
    <t>botan.shukir@students.auk.edu.krd</t>
  </si>
  <si>
    <t>Haji Ali</t>
  </si>
  <si>
    <t>haji.ali@students.auk.edu.krd</t>
  </si>
  <si>
    <t>Roz Khaleel</t>
  </si>
  <si>
    <t>roz.khaleel@students.auk.edu.krd</t>
  </si>
  <si>
    <t>Milham Milham</t>
  </si>
  <si>
    <t>milham.milham@students.auk.edu.krd</t>
  </si>
  <si>
    <t>Othman Othman</t>
  </si>
  <si>
    <t>othman.othman@students.auk.edu.krd</t>
  </si>
  <si>
    <t>Rand Hurmiz</t>
  </si>
  <si>
    <t>rand.hurmiz@students.auk.edu.krd</t>
  </si>
  <si>
    <t>Dara Younis</t>
  </si>
  <si>
    <t>dara.younis@students.auk.edu.krd</t>
  </si>
  <si>
    <t>Roshat Mahdi</t>
  </si>
  <si>
    <t>roshat.mahdi@students.auk.edu.krd</t>
  </si>
  <si>
    <t>Barzan Mohamed Salih</t>
  </si>
  <si>
    <t>barzan.mohamedsalih@students.auk.edu.krd</t>
  </si>
  <si>
    <t>Omar Haji</t>
  </si>
  <si>
    <t>omar.haji@students.auk.edu.krd</t>
  </si>
  <si>
    <t>Sarhang Hasan</t>
  </si>
  <si>
    <t>sarhang.hasan@students.auk.edu.krd</t>
  </si>
  <si>
    <t>Yaldiz Sulaiman</t>
  </si>
  <si>
    <t>yaldiz.sulaiman@students.auk.edu.krd</t>
  </si>
  <si>
    <t>Hevi Hassan</t>
  </si>
  <si>
    <t>hevi.hassan@Students.auk.edu.krd</t>
  </si>
  <si>
    <t>Shireen Ahmed</t>
  </si>
  <si>
    <t>shireen.ahmed@students.auk.edu.krd</t>
  </si>
  <si>
    <t>Kavin Taha</t>
  </si>
  <si>
    <t>kavin.taha@students.auk.edu.krd</t>
  </si>
  <si>
    <t>Ahmed Abdulrahman</t>
  </si>
  <si>
    <t>ahmed.abdulrahman@students.auk.edu.krd</t>
  </si>
  <si>
    <t>Tanya Khaleel</t>
  </si>
  <si>
    <t>tanya.khaleel@students.auk.edu.krd</t>
  </si>
  <si>
    <t>Bilind Sulaiman</t>
  </si>
  <si>
    <t>bilind.sulaiman@students.auk.edu.krd</t>
  </si>
  <si>
    <t>Abdulrahman  Hassan</t>
  </si>
  <si>
    <t>abdulrahman.hassan@students.auk.edu.krd</t>
  </si>
  <si>
    <t>Ali Sadeq</t>
  </si>
  <si>
    <t>ali.sadeq@students.auk.edu.krd</t>
  </si>
  <si>
    <t>Sileen Hasan</t>
  </si>
  <si>
    <t>sileen.hasan@Students.auk.edu.krd</t>
  </si>
  <si>
    <t>Shaymaa Zaynadeen</t>
  </si>
  <si>
    <t>shaymaa.zaynadeen@students.auk.edu.krd</t>
  </si>
  <si>
    <t>Pery Arif</t>
  </si>
  <si>
    <t>pery.arif@students.auk.edu.krd</t>
  </si>
  <si>
    <t>Berivan Othman</t>
  </si>
  <si>
    <t>berivan.othman@students.auk.edu.krd</t>
  </si>
  <si>
    <t>Hamza Abdulkareem</t>
  </si>
  <si>
    <t>hamza.abdulkareem@students.auk.edu.krd</t>
  </si>
  <si>
    <t>Aws Khider</t>
  </si>
  <si>
    <t>aws.khider@students.auk.edu.krd</t>
  </si>
  <si>
    <t>Heleen Hasan</t>
  </si>
  <si>
    <t>heleen.hasan@students.auk.edu.krd</t>
  </si>
  <si>
    <t>Alan Pirmos</t>
  </si>
  <si>
    <t>alan.pirmos@Students.auk.edu.krd</t>
  </si>
  <si>
    <t>Vager Ibrahim</t>
  </si>
  <si>
    <t>vager.ibrahim@students.auk.edu.krd</t>
  </si>
  <si>
    <t>Ragir Ali</t>
  </si>
  <si>
    <t>ragir.ali@students.auk.edu.krd</t>
  </si>
  <si>
    <t>Guhdar Ramadhan</t>
  </si>
  <si>
    <t>guhdar.ramadhan@students.auk.edu.krd</t>
  </si>
  <si>
    <t>A11700511</t>
  </si>
  <si>
    <t>Mohammed Yahya</t>
  </si>
  <si>
    <t>mohammed.yahya@Students.auk.edu.krd</t>
  </si>
  <si>
    <t>Ridwan Tahir</t>
  </si>
  <si>
    <t>ridwan.tahir@students.auk.edu.krd</t>
  </si>
  <si>
    <t>A11700485</t>
  </si>
  <si>
    <t>Fahad Akrawi</t>
  </si>
  <si>
    <t>fahad.akrawi@students.auk.edu.krd</t>
  </si>
  <si>
    <t>Derin Qasim</t>
  </si>
  <si>
    <t>derin.qasim@students.auk.edu.krd</t>
  </si>
  <si>
    <t>A11700483</t>
  </si>
  <si>
    <t>Yousif Warda</t>
  </si>
  <si>
    <t>yousif.warda@Students.auk.edu.krd</t>
  </si>
  <si>
    <t>A11700482</t>
  </si>
  <si>
    <t>Zhyar Nassrullah</t>
  </si>
  <si>
    <t>zhyar.nassrullah@students.auk.edu.krd</t>
  </si>
  <si>
    <t>Milad Ali</t>
  </si>
  <si>
    <t>milad.ali@students.auk.edu.krd</t>
  </si>
  <si>
    <t>A11700478</t>
  </si>
  <si>
    <t>Fanar Mustafa</t>
  </si>
  <si>
    <t>fanar.mustafa@students.auk.edu.krd</t>
  </si>
  <si>
    <t>A11700477</t>
  </si>
  <si>
    <t>Nojdar Abdullah</t>
  </si>
  <si>
    <t>nojdar.abdullah@students.auk.edu.krd</t>
  </si>
  <si>
    <t>Natalie Zaya</t>
  </si>
  <si>
    <t>natalie.zaya@students.auk.edu.krd</t>
  </si>
  <si>
    <t>Dolovan Ramadhan</t>
  </si>
  <si>
    <t>dolovan.ramadhan@students.auk.edu.krd</t>
  </si>
  <si>
    <t>Harwan Saleem</t>
  </si>
  <si>
    <t>harwan.saleem@students.auk.edu.krd</t>
  </si>
  <si>
    <t>Hariwan Saleem</t>
  </si>
  <si>
    <t>hariwan.saleem@students.auk.edu.krd</t>
  </si>
  <si>
    <t>Laween Ata</t>
  </si>
  <si>
    <t>laween.ata@students.auk.edu.krd</t>
  </si>
  <si>
    <t>Dunya Kareem</t>
  </si>
  <si>
    <t>dunya.kareem@students.auk.edu.krd</t>
  </si>
  <si>
    <t>Giner Abdulrahman</t>
  </si>
  <si>
    <t>giner.abdulrahman@students.auk.edu.krd</t>
  </si>
  <si>
    <t>Amad Ahmed</t>
  </si>
  <si>
    <t>amad.ahmed@students.auk.edu.krd</t>
  </si>
  <si>
    <t>Buash KFT Muhammed</t>
  </si>
  <si>
    <t>buash.muhammed@students.auk.edu.krd</t>
  </si>
  <si>
    <t>Gahen  Sadiq</t>
  </si>
  <si>
    <t>gahen.sadiq@students.auk.edu.krd</t>
  </si>
  <si>
    <t>Shiyar Kani</t>
  </si>
  <si>
    <t>shiyar.kani@students.auk.edu.krd</t>
  </si>
  <si>
    <t>Haliz Yousif</t>
  </si>
  <si>
    <t>haliz.yousif@students.auk.edu.krd</t>
  </si>
  <si>
    <t>Pel Hasan</t>
  </si>
  <si>
    <t>pel.hasan@students.auk.edu.krd</t>
  </si>
  <si>
    <t>Haton Abdulfattah</t>
  </si>
  <si>
    <t>haton.abdulfattah@students.auk.edu.krd</t>
  </si>
  <si>
    <t>Goraz Ridha</t>
  </si>
  <si>
    <t>goraz.ridha@students.auk.edu.krd</t>
  </si>
  <si>
    <t>Huzni Ali</t>
  </si>
  <si>
    <t>huzni.ali@students.auk.edu.krd</t>
  </si>
  <si>
    <t>Kiman Omer</t>
  </si>
  <si>
    <t>kiman.omer@students.auk.edu.krd</t>
  </si>
  <si>
    <t>Hadar Ahmed</t>
  </si>
  <si>
    <t>hadar.ahmed@students.auk.edu.krd</t>
  </si>
  <si>
    <t>Tania Saleh</t>
  </si>
  <si>
    <t>tania.saleh@students.auk.edu.krd</t>
  </si>
  <si>
    <t>Ziyad Mohammed</t>
  </si>
  <si>
    <t>ziyad.mohammed@students.auk.edu.krd</t>
  </si>
  <si>
    <t>Avahi Barzani</t>
  </si>
  <si>
    <t>avahi.barzani@students.auk.edu.krd</t>
  </si>
  <si>
    <t>Eldad  Zaya</t>
  </si>
  <si>
    <t>eldad.zaya@students.auk.edu.krd</t>
  </si>
  <si>
    <t>Amenah Mustafa</t>
  </si>
  <si>
    <t>amenah.mustafa@students.auk.edu.krd</t>
  </si>
  <si>
    <t>Karzan Mohammed</t>
  </si>
  <si>
    <t>karzan.mohammed@students.auk.edu.krd</t>
  </si>
  <si>
    <t>Nazdar Taher</t>
  </si>
  <si>
    <t>nazdar.taher@students.auk.edu.krd</t>
  </si>
  <si>
    <t>Sarbast Sulaiman</t>
  </si>
  <si>
    <t>sarbast.sulaiman@students.auk.edu.krd</t>
  </si>
  <si>
    <t>Nechirvan Sulaiman Kerko</t>
  </si>
  <si>
    <t>Haydel Farman Hameed</t>
  </si>
  <si>
    <t>Abdulsatar Hussein Hasan</t>
  </si>
  <si>
    <t>Jomaa Fakher Hassan</t>
  </si>
  <si>
    <t>Safaa Mohammed Nather Ameen</t>
  </si>
  <si>
    <t>Dilshad Sakfan Hammo</t>
  </si>
  <si>
    <t>Buhar Jalal Hamdeen</t>
  </si>
  <si>
    <t>Ari Sidqi Rashid</t>
  </si>
  <si>
    <t>Simyar Shawkat Mohammed Hassan</t>
  </si>
  <si>
    <t>Laween Kamal Abdullah</t>
  </si>
  <si>
    <t>Araz Qader Omar</t>
  </si>
  <si>
    <t>Hezha Nather Othman</t>
  </si>
  <si>
    <t>Hakar Akram Milham</t>
  </si>
  <si>
    <t>Ali Sameer Adnan</t>
  </si>
  <si>
    <t>Ashti Makki Abdulqader</t>
  </si>
  <si>
    <t>Iman Jalal Hamdeen</t>
  </si>
  <si>
    <t>Hivi Sidqi Rashid</t>
  </si>
  <si>
    <t>Hikmat Dindar Najman</t>
  </si>
  <si>
    <t>Zaid Faris Bashar</t>
  </si>
  <si>
    <t>Warvan Hushyar Husseen</t>
  </si>
  <si>
    <t>Safeen Dlwvan Abdulsattar</t>
  </si>
  <si>
    <t>Ibrahim Zuhair Ibrahim</t>
  </si>
  <si>
    <t>Zheger Hussein Tamar</t>
  </si>
  <si>
    <t>Iman Izadeen Pirmos</t>
  </si>
  <si>
    <t>Sarwar Diwali Abdullah</t>
  </si>
  <si>
    <t>Kovan Nabi Mohammed</t>
  </si>
  <si>
    <t>Nojdar Saeed Abdullah</t>
  </si>
  <si>
    <t>Sultan Hajim Ibrahim</t>
  </si>
  <si>
    <t>Hussein Ali Rasol</t>
  </si>
  <si>
    <t>Adnan Dawood Salman</t>
  </si>
  <si>
    <t>Mohammad Zekri Basheer</t>
  </si>
  <si>
    <t>Khamlin Yaser Kamal</t>
  </si>
  <si>
    <t>Swar Abdulsalam Sulaiman</t>
  </si>
  <si>
    <t>Eyden Abdulwahab Mohammed</t>
  </si>
  <si>
    <t>Diyana Saeed Mohammed</t>
  </si>
  <si>
    <t>Sarhad Naif Mohammed Hassan</t>
  </si>
  <si>
    <t>Baran Feysal Mohammad</t>
  </si>
  <si>
    <t>5A</t>
  </si>
  <si>
    <t>Aree Haji Mustafa</t>
  </si>
  <si>
    <t>Amenah Fawzi Mohammed</t>
  </si>
  <si>
    <t>Shandar Hishyar M. Sadeeq</t>
  </si>
  <si>
    <t>Mohammad Mosa Haji</t>
  </si>
  <si>
    <t>5B</t>
  </si>
  <si>
    <t>Jeen Hameed Ali</t>
  </si>
  <si>
    <t>5C</t>
  </si>
  <si>
    <t>6A</t>
  </si>
  <si>
    <t>Omran Mohammed Hassan</t>
  </si>
  <si>
    <t>Roje Mohammed Jamil</t>
  </si>
  <si>
    <t>Mina Faiz Mikhail</t>
  </si>
  <si>
    <t>6B</t>
  </si>
  <si>
    <t>Lana Adil Abdulrahman</t>
  </si>
  <si>
    <t>Mario Nadhim Sahamoon</t>
  </si>
  <si>
    <t>Khorsheed Sulaiman Rasheed</t>
  </si>
  <si>
    <t>7A</t>
  </si>
  <si>
    <t>Aryan Gazi Hassan</t>
  </si>
  <si>
    <t>Hany Mohsin Taha</t>
  </si>
  <si>
    <t>Yousif Ashor Warda</t>
  </si>
  <si>
    <t>Mariwan Malashni Bashir</t>
  </si>
  <si>
    <t>7B</t>
  </si>
  <si>
    <t>Ahmed Hasan Mohammad</t>
  </si>
  <si>
    <t>Alaa Kawa Mahmood</t>
  </si>
  <si>
    <t>Mohammed Ali Yahya</t>
  </si>
  <si>
    <t>Anas Kifah Mahmood</t>
  </si>
  <si>
    <t>Bera Adil Mohammed</t>
  </si>
  <si>
    <t>8A</t>
  </si>
  <si>
    <t>Mohammed Tayeb Tahir</t>
  </si>
  <si>
    <t>Ahmed Azzat Arif</t>
  </si>
  <si>
    <t>Abdullah Abdulghafoor Sulaiman</t>
  </si>
  <si>
    <t>8B</t>
  </si>
  <si>
    <t>Mardin Sabah Saado</t>
  </si>
  <si>
    <t>Lozin Zeto Khoshaba</t>
  </si>
  <si>
    <t>Rozheen Jaafar Ismael</t>
  </si>
  <si>
    <t>Parijan Shawkat Abdulaziz</t>
  </si>
  <si>
    <t>Sharmeen Jaafar Ismael</t>
  </si>
  <si>
    <t>8C</t>
  </si>
  <si>
    <t>General (20)</t>
  </si>
  <si>
    <t>Listening (20)</t>
  </si>
  <si>
    <t>Reading (20)</t>
  </si>
  <si>
    <t>Exam Writing (20)</t>
  </si>
  <si>
    <t>Speaking (10)</t>
  </si>
  <si>
    <t>Teacher Assessment 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</si>
</sst>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.1"/>
      <color rgb="FF000000"/>
      <name val="Calibri"/>
      <family val="2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sz val="12"/>
      <color theme="1"/>
      <name val="Cambria"/>
      <family val="1"/>
    </font>
    <font>
      <b/>
      <sz val="14"/>
      <color theme="3"/>
      <name val="Cambria"/>
      <family val="1"/>
    </font>
    <font>
      <b/>
      <sz val="10"/>
      <color theme="1"/>
      <name val="Cambria"/>
      <family val="1"/>
    </font>
    <font>
      <b/>
      <u/>
      <sz val="11"/>
      <color theme="1"/>
      <name val="Cambria"/>
      <family val="1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</font>
    <font>
      <sz val="12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ck">
        <color theme="4"/>
      </bottom>
      <diagonal/>
    </border>
    <border>
      <left/>
      <right style="thin">
        <color auto="1"/>
      </right>
      <top style="thick">
        <color theme="4"/>
      </top>
      <bottom style="thin">
        <color auto="1"/>
      </bottom>
      <diagonal/>
    </border>
    <border>
      <left/>
      <right style="thin">
        <color auto="1"/>
      </right>
      <top style="thick">
        <color theme="4"/>
      </top>
      <bottom/>
      <diagonal/>
    </border>
    <border>
      <left/>
      <right style="thin">
        <color auto="1"/>
      </right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4"/>
      </bottom>
      <diagonal/>
    </border>
    <border>
      <left style="thin">
        <color auto="1"/>
      </left>
      <right style="thin">
        <color auto="1"/>
      </right>
      <top style="thick">
        <color theme="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ck">
        <color theme="4"/>
      </top>
      <bottom/>
      <diagonal/>
    </border>
    <border>
      <left style="thin">
        <color auto="1"/>
      </left>
      <right style="thin">
        <color indexed="64"/>
      </right>
      <top/>
      <bottom style="thick">
        <color theme="4"/>
      </bottom>
      <diagonal/>
    </border>
  </borders>
  <cellStyleXfs count="6">
    <xf numFmtId="0" fontId="0" fillId="0" borderId="0"/>
    <xf numFmtId="0" fontId="4" fillId="0" borderId="1" applyNumberFormat="0" applyFill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15" fillId="0" borderId="0" applyNumberFormat="0" applyFill="0" applyBorder="0" applyAlignment="0" applyProtection="0"/>
    <xf numFmtId="0" fontId="21" fillId="0" borderId="0"/>
  </cellStyleXfs>
  <cellXfs count="90">
    <xf numFmtId="0" fontId="0" fillId="0" borderId="0" xfId="0"/>
    <xf numFmtId="0" fontId="6" fillId="0" borderId="0" xfId="0" applyFont="1"/>
    <xf numFmtId="0" fontId="7" fillId="0" borderId="0" xfId="0" applyFont="1"/>
    <xf numFmtId="0" fontId="0" fillId="0" borderId="2" xfId="0" applyBorder="1"/>
    <xf numFmtId="0" fontId="11" fillId="0" borderId="0" xfId="0" applyFont="1"/>
    <xf numFmtId="0" fontId="0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3" fillId="0" borderId="6" xfId="1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3" xfId="0" applyBorder="1" applyAlignment="1"/>
    <xf numFmtId="0" fontId="0" fillId="0" borderId="4" xfId="0" applyBorder="1" applyAlignment="1"/>
    <xf numFmtId="0" fontId="15" fillId="0" borderId="0" xfId="4"/>
    <xf numFmtId="0" fontId="14" fillId="0" borderId="5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3" fillId="0" borderId="10" xfId="1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7" fillId="0" borderId="0" xfId="0" applyFont="1"/>
    <xf numFmtId="1" fontId="14" fillId="0" borderId="7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/>
    <xf numFmtId="0" fontId="2" fillId="0" borderId="12" xfId="0" applyFont="1" applyBorder="1" applyAlignment="1"/>
    <xf numFmtId="2" fontId="19" fillId="0" borderId="2" xfId="0" applyNumberFormat="1" applyFont="1" applyBorder="1" applyAlignment="1" applyProtection="1">
      <alignment horizontal="center" vertical="center"/>
      <protection locked="0"/>
    </xf>
    <xf numFmtId="2" fontId="19" fillId="3" borderId="2" xfId="3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 applyProtection="1">
      <alignment horizontal="center" vertical="center"/>
      <protection locked="0"/>
    </xf>
    <xf numFmtId="0" fontId="19" fillId="3" borderId="2" xfId="3" applyFont="1" applyBorder="1" applyAlignment="1" applyProtection="1">
      <alignment horizontal="center" vertical="center"/>
      <protection locked="0"/>
    </xf>
    <xf numFmtId="0" fontId="19" fillId="0" borderId="4" xfId="0" applyFont="1" applyBorder="1" applyAlignment="1"/>
    <xf numFmtId="0" fontId="19" fillId="0" borderId="12" xfId="0" applyFont="1" applyBorder="1" applyAlignment="1"/>
    <xf numFmtId="0" fontId="19" fillId="0" borderId="4" xfId="0" applyFont="1" applyBorder="1" applyAlignment="1">
      <alignment horizontal="center"/>
    </xf>
    <xf numFmtId="1" fontId="19" fillId="2" borderId="2" xfId="2" applyNumberFormat="1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/>
    <xf numFmtId="0" fontId="1" fillId="0" borderId="12" xfId="0" applyFont="1" applyBorder="1" applyAlignment="1"/>
    <xf numFmtId="164" fontId="19" fillId="0" borderId="2" xfId="0" applyNumberFormat="1" applyFont="1" applyBorder="1" applyAlignment="1" applyProtection="1">
      <alignment horizontal="center" vertical="center"/>
      <protection locked="0"/>
    </xf>
    <xf numFmtId="1" fontId="19" fillId="3" borderId="2" xfId="3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>
      <alignment horizontal="center"/>
    </xf>
    <xf numFmtId="2" fontId="19" fillId="0" borderId="2" xfId="0" applyNumberFormat="1" applyFont="1" applyBorder="1" applyAlignment="1" applyProtection="1">
      <alignment horizontal="center" vertical="center"/>
      <protection locked="0"/>
    </xf>
    <xf numFmtId="2" fontId="19" fillId="3" borderId="2" xfId="3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 applyProtection="1">
      <alignment horizontal="center" vertical="center"/>
      <protection locked="0"/>
    </xf>
    <xf numFmtId="0" fontId="19" fillId="3" borderId="2" xfId="3" applyFont="1" applyBorder="1" applyAlignment="1" applyProtection="1">
      <alignment horizontal="center" vertical="center"/>
      <protection locked="0"/>
    </xf>
    <xf numFmtId="0" fontId="20" fillId="0" borderId="0" xfId="0" applyFont="1"/>
    <xf numFmtId="0" fontId="5" fillId="4" borderId="2" xfId="1" applyFont="1" applyFill="1" applyBorder="1" applyAlignment="1">
      <alignment vertical="center"/>
    </xf>
    <xf numFmtId="0" fontId="8" fillId="0" borderId="3" xfId="0" applyFont="1" applyBorder="1" applyAlignment="1">
      <alignment vertical="center" wrapText="1"/>
    </xf>
    <xf numFmtId="0" fontId="4" fillId="3" borderId="2" xfId="1" applyFont="1" applyFill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9" fillId="2" borderId="2" xfId="2" applyFont="1" applyBorder="1" applyAlignment="1">
      <alignment vertical="center"/>
    </xf>
    <xf numFmtId="0" fontId="8" fillId="0" borderId="12" xfId="0" applyFont="1" applyBorder="1" applyAlignment="1">
      <alignment vertical="center" wrapText="1"/>
    </xf>
    <xf numFmtId="0" fontId="22" fillId="0" borderId="0" xfId="0" applyFont="1"/>
    <xf numFmtId="0" fontId="0" fillId="0" borderId="0" xfId="0"/>
    <xf numFmtId="0" fontId="10" fillId="0" borderId="13" xfId="0" applyFont="1" applyBorder="1"/>
    <xf numFmtId="0" fontId="23" fillId="0" borderId="0" xfId="0" applyFont="1"/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24" fillId="0" borderId="0" xfId="0" applyFont="1"/>
    <xf numFmtId="0" fontId="25" fillId="0" borderId="0" xfId="0" applyFont="1" applyBorder="1" applyAlignment="1">
      <alignment horizontal="left" vertical="center"/>
    </xf>
    <xf numFmtId="0" fontId="25" fillId="0" borderId="0" xfId="0" applyFont="1"/>
    <xf numFmtId="0" fontId="26" fillId="0" borderId="0" xfId="0" applyFont="1" applyBorder="1" applyAlignment="1">
      <alignment horizontal="left" vertical="center"/>
    </xf>
    <xf numFmtId="0" fontId="27" fillId="0" borderId="10" xfId="1" applyFont="1" applyBorder="1" applyAlignment="1">
      <alignment horizontal="left" vertical="center"/>
    </xf>
    <xf numFmtId="0" fontId="27" fillId="0" borderId="6" xfId="1" applyFont="1" applyBorder="1" applyAlignment="1">
      <alignment horizontal="left" vertical="center"/>
    </xf>
    <xf numFmtId="0" fontId="28" fillId="0" borderId="11" xfId="0" applyFont="1" applyBorder="1" applyAlignment="1">
      <alignment horizontal="left" vertical="center"/>
    </xf>
    <xf numFmtId="0" fontId="29" fillId="0" borderId="0" xfId="0" applyFont="1"/>
    <xf numFmtId="0" fontId="25" fillId="0" borderId="14" xfId="0" applyFont="1" applyBorder="1"/>
    <xf numFmtId="0" fontId="25" fillId="0" borderId="4" xfId="0" applyFont="1" applyBorder="1"/>
    <xf numFmtId="0" fontId="25" fillId="0" borderId="15" xfId="0" applyFont="1" applyFill="1" applyBorder="1"/>
    <xf numFmtId="0" fontId="25" fillId="0" borderId="0" xfId="0" applyFont="1" applyAlignment="1">
      <alignment horizontal="left"/>
    </xf>
    <xf numFmtId="0" fontId="30" fillId="0" borderId="0" xfId="0" applyFont="1"/>
    <xf numFmtId="0" fontId="4" fillId="3" borderId="2" xfId="1" applyFont="1" applyFill="1" applyBorder="1" applyAlignment="1">
      <alignment horizontal="center" vertical="center" wrapText="1"/>
    </xf>
    <xf numFmtId="0" fontId="9" fillId="2" borderId="3" xfId="2" applyFont="1" applyBorder="1" applyAlignment="1">
      <alignment horizontal="center"/>
    </xf>
    <xf numFmtId="0" fontId="9" fillId="2" borderId="12" xfId="2" applyFont="1" applyBorder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5" fillId="4" borderId="3" xfId="1" applyFont="1" applyFill="1" applyBorder="1" applyAlignment="1">
      <alignment horizontal="center" vertical="center"/>
    </xf>
    <xf numFmtId="0" fontId="5" fillId="4" borderId="12" xfId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1" fontId="26" fillId="0" borderId="8" xfId="0" applyNumberFormat="1" applyFont="1" applyBorder="1" applyAlignment="1">
      <alignment horizontal="center"/>
    </xf>
    <xf numFmtId="1" fontId="26" fillId="0" borderId="5" xfId="0" applyNumberFormat="1" applyFont="1" applyBorder="1" applyAlignment="1">
      <alignment horizontal="center" vertical="center"/>
    </xf>
    <xf numFmtId="1" fontId="26" fillId="0" borderId="9" xfId="0" applyNumberFormat="1" applyFont="1" applyBorder="1" applyAlignment="1">
      <alignment horizontal="center"/>
    </xf>
    <xf numFmtId="1" fontId="26" fillId="0" borderId="7" xfId="0" applyNumberFormat="1" applyFont="1" applyBorder="1" applyAlignment="1">
      <alignment horizontal="center" vertical="center"/>
    </xf>
    <xf numFmtId="0" fontId="31" fillId="0" borderId="0" xfId="0" applyFont="1"/>
    <xf numFmtId="1" fontId="31" fillId="0" borderId="0" xfId="0" applyNumberFormat="1" applyFont="1"/>
    <xf numFmtId="2" fontId="31" fillId="0" borderId="0" xfId="0" applyNumberFormat="1" applyFont="1"/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vertical="center"/>
    </xf>
    <xf numFmtId="0" fontId="17" fillId="0" borderId="0" xfId="0" applyFont="1" applyFill="1" applyBorder="1"/>
    <xf numFmtId="2" fontId="33" fillId="0" borderId="0" xfId="0" applyNumberFormat="1" applyFont="1" applyFill="1" applyBorder="1" applyAlignment="1">
      <alignment horizontal="center" vertical="center"/>
    </xf>
    <xf numFmtId="1" fontId="17" fillId="0" borderId="0" xfId="0" applyNumberFormat="1" applyFont="1"/>
    <xf numFmtId="2" fontId="17" fillId="0" borderId="0" xfId="0" applyNumberFormat="1" applyFont="1"/>
  </cellXfs>
  <cellStyles count="6">
    <cellStyle name="20% - Accent1" xfId="2" builtinId="30"/>
    <cellStyle name="20% - Accent4" xfId="3" builtinId="42"/>
    <cellStyle name="Heading 1" xfId="1" builtinId="16"/>
    <cellStyle name="Hyperlink" xfId="4" builtinId="8"/>
    <cellStyle name="Normal" xfId="0" builtinId="0"/>
    <cellStyle name="Normal 2" xfId="5" xr:uid="{00000000-0005-0000-0000-000030000000}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CC9A6429-AB8C-430C-84B7-20BC99452D7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146438</xdr:colOff>
      <xdr:row>0</xdr:row>
      <xdr:rowOff>0</xdr:rowOff>
    </xdr:from>
    <xdr:to>
      <xdr:col>3</xdr:col>
      <xdr:colOff>485723</xdr:colOff>
      <xdr:row>5</xdr:row>
      <xdr:rowOff>133184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1658" y="0"/>
          <a:ext cx="941265" cy="1093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0</xdr:row>
          <xdr:rowOff>182880</xdr:rowOff>
        </xdr:from>
        <xdr:to>
          <xdr:col>9</xdr:col>
          <xdr:colOff>30480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Grades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462644</xdr:colOff>
      <xdr:row>0</xdr:row>
      <xdr:rowOff>0</xdr:rowOff>
    </xdr:from>
    <xdr:to>
      <xdr:col>4</xdr:col>
      <xdr:colOff>217716</xdr:colOff>
      <xdr:row>5</xdr:row>
      <xdr:rowOff>34027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1" y="0"/>
          <a:ext cx="974272" cy="10572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6</xdr:row>
          <xdr:rowOff>22860</xdr:rowOff>
        </xdr:from>
        <xdr:to>
          <xdr:col>4</xdr:col>
          <xdr:colOff>998220</xdr:colOff>
          <xdr:row>9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E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PDFs of 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zik/Google%20Drive/Admission/Admission%20List%20-%20Aug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Admission List"/>
      <sheetName val="Student List"/>
      <sheetName val="Admission Capacities"/>
      <sheetName val="Checklist - Full"/>
      <sheetName val="Tuition"/>
      <sheetName val="Scholarships&amp;Discounts"/>
    </sheetNames>
    <sheetDataSet>
      <sheetData sheetId="0" refreshError="1"/>
      <sheetData sheetId="1" refreshError="1">
        <row r="4">
          <cell r="C4" t="str">
            <v>00000001</v>
          </cell>
          <cell r="D4" t="str">
            <v>N/A</v>
          </cell>
          <cell r="E4" t="str">
            <v>Alaa</v>
          </cell>
          <cell r="F4" t="str">
            <v>Ahmed</v>
          </cell>
          <cell r="G4" t="str">
            <v>Ali</v>
          </cell>
          <cell r="J4" t="str">
            <v>Kurdish</v>
          </cell>
          <cell r="K4">
            <v>7504380999</v>
          </cell>
          <cell r="P4" t="str">
            <v>Local</v>
          </cell>
          <cell r="R4" t="str">
            <v>Regular</v>
          </cell>
          <cell r="T4" t="str">
            <v>Pending</v>
          </cell>
          <cell r="V4" t="str">
            <v>Spring</v>
          </cell>
          <cell r="W4">
            <v>2015</v>
          </cell>
          <cell r="AH4">
            <v>54</v>
          </cell>
          <cell r="AK4">
            <v>54</v>
          </cell>
          <cell r="AM4">
            <v>54</v>
          </cell>
          <cell r="BJ4">
            <v>1</v>
          </cell>
        </row>
        <row r="5">
          <cell r="D5" t="str">
            <v>N/A</v>
          </cell>
          <cell r="E5" t="str">
            <v>Shapirza</v>
          </cell>
          <cell r="F5" t="str">
            <v>Hishyar</v>
          </cell>
          <cell r="G5" t="str">
            <v>Salih</v>
          </cell>
          <cell r="H5" t="str">
            <v>Male</v>
          </cell>
          <cell r="J5" t="str">
            <v>Kurdish</v>
          </cell>
          <cell r="K5">
            <v>7504722118</v>
          </cell>
          <cell r="L5">
            <v>7505303891</v>
          </cell>
          <cell r="R5" t="str">
            <v>Regular</v>
          </cell>
          <cell r="T5" t="str">
            <v>Pending</v>
          </cell>
          <cell r="V5" t="str">
            <v>Spring</v>
          </cell>
          <cell r="W5">
            <v>2015</v>
          </cell>
          <cell r="AF5" t="str">
            <v>Duhok</v>
          </cell>
          <cell r="AH5">
            <v>70</v>
          </cell>
          <cell r="AK5">
            <v>70</v>
          </cell>
          <cell r="AM5">
            <v>70</v>
          </cell>
          <cell r="AP5">
            <v>3</v>
          </cell>
          <cell r="AQ5">
            <v>3</v>
          </cell>
          <cell r="AV5">
            <v>2</v>
          </cell>
          <cell r="AY5">
            <v>1</v>
          </cell>
        </row>
        <row r="6">
          <cell r="D6" t="str">
            <v>N/A</v>
          </cell>
          <cell r="E6" t="str">
            <v>Sherwan</v>
          </cell>
          <cell r="F6" t="str">
            <v>Sabri</v>
          </cell>
          <cell r="G6" t="str">
            <v>Haji</v>
          </cell>
          <cell r="H6" t="str">
            <v>Male</v>
          </cell>
          <cell r="J6" t="str">
            <v>Kurdish</v>
          </cell>
          <cell r="K6">
            <v>7504339102</v>
          </cell>
          <cell r="L6">
            <v>7504266682</v>
          </cell>
          <cell r="T6" t="str">
            <v>Pending</v>
          </cell>
          <cell r="V6" t="str">
            <v>Spring</v>
          </cell>
          <cell r="W6">
            <v>2015</v>
          </cell>
          <cell r="AH6">
            <v>68.5</v>
          </cell>
          <cell r="AK6">
            <v>68.5</v>
          </cell>
          <cell r="AM6">
            <v>68.5</v>
          </cell>
          <cell r="AP6">
            <v>1</v>
          </cell>
          <cell r="BJ6">
            <v>1</v>
          </cell>
        </row>
        <row r="7">
          <cell r="D7" t="str">
            <v>A21500031</v>
          </cell>
          <cell r="E7" t="str">
            <v>Chinar</v>
          </cell>
          <cell r="F7" t="str">
            <v>Ibrahim</v>
          </cell>
          <cell r="G7" t="str">
            <v>Mohammed</v>
          </cell>
          <cell r="H7" t="str">
            <v>Female</v>
          </cell>
          <cell r="I7">
            <v>1996</v>
          </cell>
          <cell r="J7" t="str">
            <v>Kurdish</v>
          </cell>
          <cell r="K7">
            <v>7504500105</v>
          </cell>
          <cell r="L7">
            <v>7504502006</v>
          </cell>
          <cell r="N7" t="str">
            <v>No</v>
          </cell>
          <cell r="O7" t="str">
            <v>No</v>
          </cell>
          <cell r="P7" t="str">
            <v>Local</v>
          </cell>
          <cell r="Q7" t="str">
            <v>First Year</v>
          </cell>
          <cell r="R7" t="str">
            <v>Regular</v>
          </cell>
          <cell r="T7" t="str">
            <v>Accepted</v>
          </cell>
          <cell r="V7" t="str">
            <v>Spring</v>
          </cell>
          <cell r="W7">
            <v>2015</v>
          </cell>
          <cell r="X7" t="str">
            <v>Spring</v>
          </cell>
          <cell r="Y7">
            <v>2015</v>
          </cell>
          <cell r="Z7" t="str">
            <v>High School</v>
          </cell>
          <cell r="AA7">
            <v>2014</v>
          </cell>
          <cell r="AE7" t="str">
            <v>Jiyan</v>
          </cell>
          <cell r="AF7" t="str">
            <v>Zakho</v>
          </cell>
          <cell r="AG7" t="str">
            <v>Araz Community</v>
          </cell>
          <cell r="AH7">
            <v>62</v>
          </cell>
          <cell r="AK7">
            <v>62</v>
          </cell>
          <cell r="AM7">
            <v>62</v>
          </cell>
          <cell r="AP7">
            <v>6</v>
          </cell>
          <cell r="AQ7">
            <v>1</v>
          </cell>
        </row>
        <row r="8">
          <cell r="D8" t="str">
            <v>N/A</v>
          </cell>
          <cell r="E8" t="str">
            <v>Shana</v>
          </cell>
          <cell r="F8" t="str">
            <v>Imad</v>
          </cell>
          <cell r="G8" t="str">
            <v>Mustafa</v>
          </cell>
          <cell r="J8" t="str">
            <v>Kurdish</v>
          </cell>
          <cell r="K8">
            <v>7504451471</v>
          </cell>
          <cell r="L8">
            <v>7507446410</v>
          </cell>
          <cell r="R8" t="str">
            <v>Regular</v>
          </cell>
          <cell r="T8" t="str">
            <v>Pending</v>
          </cell>
          <cell r="V8" t="str">
            <v>Spring</v>
          </cell>
          <cell r="W8">
            <v>2015</v>
          </cell>
          <cell r="AH8">
            <v>65</v>
          </cell>
          <cell r="AK8">
            <v>65</v>
          </cell>
          <cell r="AM8">
            <v>65</v>
          </cell>
          <cell r="AP8">
            <v>1</v>
          </cell>
          <cell r="AW8">
            <v>1</v>
          </cell>
        </row>
        <row r="9">
          <cell r="D9" t="str">
            <v>A21500101</v>
          </cell>
          <cell r="E9" t="str">
            <v>Van</v>
          </cell>
          <cell r="F9" t="str">
            <v>Faiz</v>
          </cell>
          <cell r="G9" t="str">
            <v>Mikhael</v>
          </cell>
          <cell r="H9" t="str">
            <v>Male</v>
          </cell>
          <cell r="I9">
            <v>1995</v>
          </cell>
          <cell r="J9" t="str">
            <v>Kurdish</v>
          </cell>
          <cell r="K9">
            <v>7504248186</v>
          </cell>
          <cell r="L9">
            <v>7504722272</v>
          </cell>
          <cell r="M9" t="str">
            <v>van.michael95@gmail.com</v>
          </cell>
          <cell r="N9" t="str">
            <v>No</v>
          </cell>
          <cell r="O9" t="str">
            <v>No</v>
          </cell>
          <cell r="P9" t="str">
            <v>Local</v>
          </cell>
          <cell r="Q9" t="str">
            <v>First Year</v>
          </cell>
          <cell r="R9" t="str">
            <v>Regular</v>
          </cell>
          <cell r="T9" t="str">
            <v>Accepted</v>
          </cell>
          <cell r="V9" t="str">
            <v>Spring</v>
          </cell>
          <cell r="W9">
            <v>2015</v>
          </cell>
          <cell r="X9" t="str">
            <v>Spring</v>
          </cell>
          <cell r="Y9">
            <v>2015</v>
          </cell>
          <cell r="Z9" t="str">
            <v>High School</v>
          </cell>
          <cell r="AA9">
            <v>2014</v>
          </cell>
          <cell r="AB9">
            <v>2</v>
          </cell>
          <cell r="AC9">
            <v>2</v>
          </cell>
          <cell r="AD9" t="str">
            <v>Science</v>
          </cell>
          <cell r="AE9" t="str">
            <v>Bizhara</v>
          </cell>
          <cell r="AF9" t="str">
            <v>Duhok</v>
          </cell>
          <cell r="AG9" t="str">
            <v>Gre Sor</v>
          </cell>
          <cell r="AH9">
            <v>63</v>
          </cell>
          <cell r="AK9">
            <v>63</v>
          </cell>
          <cell r="AM9">
            <v>63</v>
          </cell>
          <cell r="AP9">
            <v>5</v>
          </cell>
          <cell r="AW9">
            <v>1</v>
          </cell>
        </row>
        <row r="10">
          <cell r="D10" t="str">
            <v>A21500033</v>
          </cell>
          <cell r="E10" t="str">
            <v>Foad</v>
          </cell>
          <cell r="F10" t="str">
            <v>Mohammed</v>
          </cell>
          <cell r="G10" t="str">
            <v>Hasan</v>
          </cell>
          <cell r="H10" t="str">
            <v>Male</v>
          </cell>
          <cell r="I10">
            <v>1995</v>
          </cell>
          <cell r="J10" t="str">
            <v>Kurdish</v>
          </cell>
          <cell r="K10">
            <v>7504801679</v>
          </cell>
          <cell r="L10">
            <v>7504507503</v>
          </cell>
          <cell r="N10" t="str">
            <v>No</v>
          </cell>
          <cell r="O10" t="str">
            <v>No</v>
          </cell>
          <cell r="P10" t="str">
            <v>Local</v>
          </cell>
          <cell r="Q10" t="str">
            <v>First Year</v>
          </cell>
          <cell r="R10" t="str">
            <v>Regular</v>
          </cell>
          <cell r="T10" t="str">
            <v>Accepted</v>
          </cell>
          <cell r="U10" t="str">
            <v>Freeze</v>
          </cell>
          <cell r="V10" t="str">
            <v>Spring</v>
          </cell>
          <cell r="W10">
            <v>2015</v>
          </cell>
          <cell r="X10" t="str">
            <v>Spring</v>
          </cell>
          <cell r="Y10">
            <v>2015</v>
          </cell>
          <cell r="Z10" t="str">
            <v>High School</v>
          </cell>
          <cell r="AA10">
            <v>2014</v>
          </cell>
          <cell r="AB10">
            <v>1</v>
          </cell>
          <cell r="AC10">
            <v>2</v>
          </cell>
          <cell r="AD10" t="str">
            <v>Science</v>
          </cell>
          <cell r="AE10" t="str">
            <v>Zakho</v>
          </cell>
          <cell r="AF10" t="str">
            <v>Zakho</v>
          </cell>
          <cell r="AH10">
            <v>76</v>
          </cell>
          <cell r="AK10">
            <v>76</v>
          </cell>
          <cell r="AM10">
            <v>76</v>
          </cell>
          <cell r="AP10">
            <v>6</v>
          </cell>
          <cell r="BG10">
            <v>1</v>
          </cell>
        </row>
        <row r="11">
          <cell r="D11" t="str">
            <v>N/A</v>
          </cell>
          <cell r="E11" t="str">
            <v xml:space="preserve">Abdulkareem </v>
          </cell>
          <cell r="F11" t="str">
            <v>Mohammed</v>
          </cell>
          <cell r="G11" t="str">
            <v>Saeed</v>
          </cell>
          <cell r="H11" t="str">
            <v>Male</v>
          </cell>
          <cell r="J11" t="str">
            <v>Kurdish</v>
          </cell>
          <cell r="K11">
            <v>7504270805</v>
          </cell>
          <cell r="L11">
            <v>7504471029</v>
          </cell>
          <cell r="T11" t="str">
            <v>Pending</v>
          </cell>
          <cell r="V11" t="str">
            <v>Spring</v>
          </cell>
          <cell r="W11">
            <v>2015</v>
          </cell>
          <cell r="AF11" t="str">
            <v>Akre</v>
          </cell>
          <cell r="AH11">
            <v>73</v>
          </cell>
          <cell r="AK11">
            <v>73</v>
          </cell>
          <cell r="AM11">
            <v>73</v>
          </cell>
          <cell r="AP11">
            <v>5</v>
          </cell>
          <cell r="AW11">
            <v>1</v>
          </cell>
        </row>
        <row r="12">
          <cell r="D12" t="str">
            <v>N/A</v>
          </cell>
          <cell r="E12" t="str">
            <v>Fadi</v>
          </cell>
          <cell r="F12" t="str">
            <v>Rasim</v>
          </cell>
          <cell r="G12" t="str">
            <v>Hourmis</v>
          </cell>
          <cell r="J12" t="str">
            <v>Kurdish</v>
          </cell>
          <cell r="K12">
            <v>7504454995</v>
          </cell>
          <cell r="L12">
            <v>7504455421</v>
          </cell>
          <cell r="R12" t="str">
            <v>Regular</v>
          </cell>
          <cell r="T12" t="str">
            <v>Pending</v>
          </cell>
          <cell r="V12" t="str">
            <v>Spring</v>
          </cell>
          <cell r="W12">
            <v>2015</v>
          </cell>
          <cell r="AH12">
            <v>60</v>
          </cell>
          <cell r="AK12">
            <v>60</v>
          </cell>
          <cell r="AM12">
            <v>60</v>
          </cell>
          <cell r="AP12">
            <v>2</v>
          </cell>
          <cell r="AQ12">
            <v>1</v>
          </cell>
        </row>
        <row r="13">
          <cell r="D13" t="str">
            <v>A21500067</v>
          </cell>
          <cell r="E13" t="str">
            <v>Shaho</v>
          </cell>
          <cell r="F13" t="str">
            <v>Mohammad</v>
          </cell>
          <cell r="G13" t="str">
            <v>Muhsin</v>
          </cell>
          <cell r="H13" t="str">
            <v>Male</v>
          </cell>
          <cell r="I13">
            <v>1994</v>
          </cell>
          <cell r="J13" t="str">
            <v>Kurdish</v>
          </cell>
          <cell r="K13">
            <v>7504461411</v>
          </cell>
          <cell r="L13">
            <v>7700500050</v>
          </cell>
          <cell r="M13" t="str">
            <v>shaho_amedy@yahoo.com</v>
          </cell>
          <cell r="N13" t="str">
            <v>No</v>
          </cell>
          <cell r="O13" t="str">
            <v>No</v>
          </cell>
          <cell r="P13" t="str">
            <v>Local</v>
          </cell>
          <cell r="Q13" t="str">
            <v>First Year</v>
          </cell>
          <cell r="R13" t="str">
            <v>Regular</v>
          </cell>
          <cell r="T13" t="str">
            <v>Accepted</v>
          </cell>
          <cell r="V13" t="str">
            <v>Spring</v>
          </cell>
          <cell r="W13">
            <v>2015</v>
          </cell>
          <cell r="X13" t="str">
            <v>Spring</v>
          </cell>
          <cell r="Y13">
            <v>2015</v>
          </cell>
          <cell r="Z13" t="str">
            <v>High School</v>
          </cell>
          <cell r="AA13">
            <v>2013</v>
          </cell>
          <cell r="AB13">
            <v>1</v>
          </cell>
          <cell r="AC13">
            <v>1</v>
          </cell>
          <cell r="AD13" t="str">
            <v>Science</v>
          </cell>
          <cell r="AE13" t="str">
            <v>Isheq</v>
          </cell>
          <cell r="AF13" t="str">
            <v>Duhok</v>
          </cell>
          <cell r="AG13" t="str">
            <v>Grebase</v>
          </cell>
          <cell r="AH13">
            <v>77.599999999999994</v>
          </cell>
          <cell r="AK13">
            <v>77.599999999999994</v>
          </cell>
          <cell r="AM13">
            <v>77.599999999999994</v>
          </cell>
          <cell r="AN13" t="str">
            <v>71</v>
          </cell>
          <cell r="AP13">
            <v>6</v>
          </cell>
          <cell r="BG13">
            <v>1</v>
          </cell>
        </row>
        <row r="14">
          <cell r="D14" t="str">
            <v>A21500118</v>
          </cell>
          <cell r="E14" t="str">
            <v>Chang</v>
          </cell>
          <cell r="F14" t="str">
            <v>Farhan</v>
          </cell>
          <cell r="G14" t="str">
            <v>Tahir</v>
          </cell>
          <cell r="H14" t="str">
            <v>Female</v>
          </cell>
          <cell r="I14">
            <v>1995</v>
          </cell>
          <cell r="J14" t="str">
            <v>Kurdish</v>
          </cell>
          <cell r="K14">
            <v>7504508487</v>
          </cell>
          <cell r="L14">
            <v>7510328895</v>
          </cell>
          <cell r="M14" t="str">
            <v>chichebarakaty@gmail.com</v>
          </cell>
          <cell r="N14" t="str">
            <v>Yes</v>
          </cell>
          <cell r="O14" t="str">
            <v>No</v>
          </cell>
          <cell r="P14" t="str">
            <v>Local</v>
          </cell>
          <cell r="Q14" t="str">
            <v>First Year</v>
          </cell>
          <cell r="R14" t="str">
            <v>Regular</v>
          </cell>
          <cell r="T14" t="str">
            <v>Accepted</v>
          </cell>
          <cell r="V14" t="str">
            <v>Spring</v>
          </cell>
          <cell r="W14">
            <v>2015</v>
          </cell>
          <cell r="X14" t="str">
            <v>Spring</v>
          </cell>
          <cell r="Y14">
            <v>2015</v>
          </cell>
          <cell r="Z14" t="str">
            <v>High School</v>
          </cell>
          <cell r="AA14">
            <v>2014</v>
          </cell>
          <cell r="AB14">
            <v>2</v>
          </cell>
          <cell r="AC14">
            <v>1</v>
          </cell>
          <cell r="AD14" t="str">
            <v>Science</v>
          </cell>
          <cell r="AE14" t="str">
            <v>Bizhara</v>
          </cell>
          <cell r="AF14" t="str">
            <v>Duhok</v>
          </cell>
          <cell r="AG14" t="str">
            <v>Se Grka</v>
          </cell>
          <cell r="AH14">
            <v>66.3</v>
          </cell>
          <cell r="AK14">
            <v>66.3</v>
          </cell>
          <cell r="AM14">
            <v>66.3</v>
          </cell>
          <cell r="AN14" t="str">
            <v>48</v>
          </cell>
          <cell r="AP14">
            <v>6</v>
          </cell>
          <cell r="AW14">
            <v>1</v>
          </cell>
        </row>
        <row r="15">
          <cell r="D15" t="str">
            <v>N/A</v>
          </cell>
          <cell r="E15" t="str">
            <v>Ogaid</v>
          </cell>
          <cell r="F15" t="str">
            <v>Mustafa</v>
          </cell>
          <cell r="G15" t="str">
            <v>Mohammed</v>
          </cell>
          <cell r="H15" t="str">
            <v>Male</v>
          </cell>
          <cell r="J15" t="str">
            <v>Kurdish</v>
          </cell>
          <cell r="K15">
            <v>7504594359</v>
          </cell>
          <cell r="L15">
            <v>7504207991</v>
          </cell>
          <cell r="T15" t="str">
            <v>Pending</v>
          </cell>
          <cell r="V15" t="str">
            <v>Spring</v>
          </cell>
          <cell r="W15">
            <v>2015</v>
          </cell>
          <cell r="AH15">
            <v>85</v>
          </cell>
          <cell r="AK15">
            <v>85</v>
          </cell>
          <cell r="AM15">
            <v>85</v>
          </cell>
          <cell r="AP15">
            <v>4</v>
          </cell>
          <cell r="BD15">
            <v>1</v>
          </cell>
        </row>
        <row r="16">
          <cell r="D16" t="str">
            <v>A21500096</v>
          </cell>
          <cell r="E16" t="str">
            <v>Omar</v>
          </cell>
          <cell r="F16" t="str">
            <v>Ihsan</v>
          </cell>
          <cell r="G16" t="str">
            <v>Issa</v>
          </cell>
          <cell r="H16" t="str">
            <v>Male</v>
          </cell>
          <cell r="I16">
            <v>1995</v>
          </cell>
          <cell r="J16" t="str">
            <v>Kurdish</v>
          </cell>
          <cell r="K16">
            <v>7507478955</v>
          </cell>
          <cell r="L16">
            <v>7504505575</v>
          </cell>
          <cell r="N16" t="str">
            <v>No</v>
          </cell>
          <cell r="O16" t="str">
            <v>No</v>
          </cell>
          <cell r="P16" t="str">
            <v>Local</v>
          </cell>
          <cell r="Q16" t="str">
            <v>First Year</v>
          </cell>
          <cell r="R16" t="str">
            <v>Regular</v>
          </cell>
          <cell r="T16" t="str">
            <v>Accepted</v>
          </cell>
          <cell r="V16" t="str">
            <v>Spring</v>
          </cell>
          <cell r="W16">
            <v>2015</v>
          </cell>
          <cell r="X16" t="str">
            <v>Spring</v>
          </cell>
          <cell r="Y16">
            <v>2015</v>
          </cell>
          <cell r="Z16" t="str">
            <v>High School</v>
          </cell>
          <cell r="AA16">
            <v>2014</v>
          </cell>
          <cell r="AB16">
            <v>3</v>
          </cell>
          <cell r="AC16">
            <v>1</v>
          </cell>
          <cell r="AD16" t="str">
            <v>Science</v>
          </cell>
          <cell r="AE16" t="str">
            <v>Dowa Kurd</v>
          </cell>
          <cell r="AF16" t="str">
            <v>Duhok</v>
          </cell>
          <cell r="AG16" t="str">
            <v>K.R.O</v>
          </cell>
          <cell r="AH16">
            <v>62</v>
          </cell>
          <cell r="AK16">
            <v>62</v>
          </cell>
          <cell r="AM16">
            <v>62</v>
          </cell>
          <cell r="AP16">
            <v>6</v>
          </cell>
          <cell r="AW16">
            <v>1</v>
          </cell>
        </row>
        <row r="17">
          <cell r="D17" t="str">
            <v>A21500074</v>
          </cell>
          <cell r="E17" t="str">
            <v>Berevan</v>
          </cell>
          <cell r="F17" t="str">
            <v>Farhad</v>
          </cell>
          <cell r="G17" t="str">
            <v>Mohammed</v>
          </cell>
          <cell r="H17" t="str">
            <v>Female</v>
          </cell>
          <cell r="I17">
            <v>1993</v>
          </cell>
          <cell r="J17" t="str">
            <v>Kurdish</v>
          </cell>
          <cell r="K17">
            <v>7504570239</v>
          </cell>
          <cell r="L17">
            <v>7504667806</v>
          </cell>
          <cell r="N17" t="str">
            <v>No</v>
          </cell>
          <cell r="O17" t="str">
            <v>No</v>
          </cell>
          <cell r="P17" t="str">
            <v>Local</v>
          </cell>
          <cell r="Q17" t="str">
            <v>First Year</v>
          </cell>
          <cell r="R17" t="str">
            <v>Regular</v>
          </cell>
          <cell r="T17" t="str">
            <v>Accepted</v>
          </cell>
          <cell r="V17" t="str">
            <v>Spring</v>
          </cell>
          <cell r="W17">
            <v>2015</v>
          </cell>
          <cell r="X17" t="str">
            <v>Spring</v>
          </cell>
          <cell r="Y17">
            <v>2015</v>
          </cell>
          <cell r="Z17" t="str">
            <v>High School</v>
          </cell>
          <cell r="AA17">
            <v>2014</v>
          </cell>
          <cell r="AB17">
            <v>1</v>
          </cell>
          <cell r="AC17">
            <v>1</v>
          </cell>
          <cell r="AD17" t="str">
            <v>Arts</v>
          </cell>
          <cell r="AE17" t="str">
            <v>Awaz</v>
          </cell>
          <cell r="AF17" t="str">
            <v>Duhok</v>
          </cell>
          <cell r="AG17" t="str">
            <v>Zozan City</v>
          </cell>
          <cell r="AH17">
            <v>59</v>
          </cell>
          <cell r="AK17">
            <v>59</v>
          </cell>
          <cell r="AM17">
            <v>59</v>
          </cell>
          <cell r="AP17">
            <v>5</v>
          </cell>
          <cell r="BB17">
            <v>1</v>
          </cell>
        </row>
        <row r="18">
          <cell r="D18" t="str">
            <v>N/A</v>
          </cell>
          <cell r="E18" t="str">
            <v>Nihal</v>
          </cell>
          <cell r="F18" t="str">
            <v>Nasrat</v>
          </cell>
          <cell r="G18" t="str">
            <v>Mustafa</v>
          </cell>
          <cell r="J18" t="str">
            <v>Kurdish</v>
          </cell>
          <cell r="K18">
            <v>7500331416</v>
          </cell>
          <cell r="L18">
            <v>7702722512</v>
          </cell>
          <cell r="T18" t="str">
            <v>Pending</v>
          </cell>
          <cell r="V18" t="str">
            <v>Spring</v>
          </cell>
          <cell r="W18">
            <v>2015</v>
          </cell>
          <cell r="AH18">
            <v>61</v>
          </cell>
          <cell r="AK18">
            <v>61</v>
          </cell>
          <cell r="AM18">
            <v>61</v>
          </cell>
          <cell r="AP18">
            <v>6</v>
          </cell>
          <cell r="AW18">
            <v>1</v>
          </cell>
        </row>
        <row r="19">
          <cell r="D19" t="str">
            <v>N/A</v>
          </cell>
          <cell r="E19" t="str">
            <v>Awaz</v>
          </cell>
          <cell r="F19" t="str">
            <v>Mohammed</v>
          </cell>
          <cell r="G19" t="str">
            <v>Yaseen</v>
          </cell>
          <cell r="J19" t="str">
            <v>Kurdish</v>
          </cell>
          <cell r="K19">
            <v>7508180103</v>
          </cell>
          <cell r="T19" t="str">
            <v>Pending</v>
          </cell>
          <cell r="V19" t="str">
            <v>Spring</v>
          </cell>
          <cell r="W19">
            <v>2015</v>
          </cell>
          <cell r="AH19">
            <v>75</v>
          </cell>
          <cell r="AK19">
            <v>75</v>
          </cell>
          <cell r="AM19">
            <v>75</v>
          </cell>
          <cell r="AQ19">
            <v>1</v>
          </cell>
        </row>
        <row r="20">
          <cell r="D20" t="str">
            <v>A21500034</v>
          </cell>
          <cell r="E20" t="str">
            <v>Hevi</v>
          </cell>
          <cell r="F20" t="str">
            <v>Younis</v>
          </cell>
          <cell r="G20" t="str">
            <v>Hassan</v>
          </cell>
          <cell r="H20" t="str">
            <v>Female</v>
          </cell>
          <cell r="I20">
            <v>1994</v>
          </cell>
          <cell r="J20" t="str">
            <v>Kurdish</v>
          </cell>
          <cell r="K20">
            <v>7504392026</v>
          </cell>
          <cell r="L20">
            <v>7504506060</v>
          </cell>
          <cell r="N20" t="str">
            <v>No</v>
          </cell>
          <cell r="O20" t="str">
            <v>No</v>
          </cell>
          <cell r="P20" t="str">
            <v>Local</v>
          </cell>
          <cell r="Q20" t="str">
            <v>First Year</v>
          </cell>
          <cell r="R20" t="str">
            <v>Regular</v>
          </cell>
          <cell r="T20" t="str">
            <v>Accepted</v>
          </cell>
          <cell r="V20" t="str">
            <v>Spring</v>
          </cell>
          <cell r="W20">
            <v>2015</v>
          </cell>
          <cell r="X20" t="str">
            <v>Spring</v>
          </cell>
          <cell r="Y20">
            <v>2015</v>
          </cell>
          <cell r="Z20" t="str">
            <v>High School</v>
          </cell>
          <cell r="AA20">
            <v>2014</v>
          </cell>
          <cell r="AB20">
            <v>2</v>
          </cell>
          <cell r="AC20">
            <v>1</v>
          </cell>
          <cell r="AD20" t="str">
            <v>Arts</v>
          </cell>
          <cell r="AE20" t="str">
            <v>Duhok</v>
          </cell>
          <cell r="AF20" t="str">
            <v>Duhok</v>
          </cell>
          <cell r="AG20" t="str">
            <v>Grebase</v>
          </cell>
          <cell r="AH20">
            <v>59</v>
          </cell>
          <cell r="AK20">
            <v>59</v>
          </cell>
          <cell r="AM20">
            <v>59</v>
          </cell>
          <cell r="AP20">
            <v>5</v>
          </cell>
          <cell r="AZ20">
            <v>1</v>
          </cell>
        </row>
        <row r="21">
          <cell r="D21" t="str">
            <v>N/A</v>
          </cell>
          <cell r="E21" t="str">
            <v>Baravan</v>
          </cell>
          <cell r="F21" t="str">
            <v>Akram</v>
          </cell>
          <cell r="G21" t="str">
            <v>Abdulrahman</v>
          </cell>
          <cell r="H21" t="str">
            <v>Male</v>
          </cell>
          <cell r="J21" t="str">
            <v>Kurdish</v>
          </cell>
          <cell r="K21">
            <v>7507680959</v>
          </cell>
          <cell r="L21">
            <v>7503323299</v>
          </cell>
          <cell r="T21" t="str">
            <v>Pending</v>
          </cell>
          <cell r="V21" t="str">
            <v>Spring</v>
          </cell>
          <cell r="W21">
            <v>2015</v>
          </cell>
          <cell r="AH21">
            <v>59</v>
          </cell>
          <cell r="AK21">
            <v>59</v>
          </cell>
          <cell r="AM21">
            <v>59</v>
          </cell>
        </row>
        <row r="22">
          <cell r="D22" t="str">
            <v>A21500086</v>
          </cell>
          <cell r="E22" t="str">
            <v>Hamza</v>
          </cell>
          <cell r="F22" t="str">
            <v>Qasim</v>
          </cell>
          <cell r="G22" t="str">
            <v>Abdulrahman</v>
          </cell>
          <cell r="H22" t="str">
            <v>Male</v>
          </cell>
          <cell r="I22">
            <v>1996</v>
          </cell>
          <cell r="J22" t="str">
            <v>Kurdish</v>
          </cell>
          <cell r="K22">
            <v>7504010047</v>
          </cell>
          <cell r="L22">
            <v>7504507053</v>
          </cell>
          <cell r="N22" t="str">
            <v>No</v>
          </cell>
          <cell r="O22" t="str">
            <v>No</v>
          </cell>
          <cell r="P22" t="str">
            <v>Local</v>
          </cell>
          <cell r="Q22" t="str">
            <v>First Year</v>
          </cell>
          <cell r="R22" t="str">
            <v>Regular</v>
          </cell>
          <cell r="T22" t="str">
            <v>Accepted</v>
          </cell>
          <cell r="V22" t="str">
            <v>Spring</v>
          </cell>
          <cell r="W22">
            <v>2015</v>
          </cell>
          <cell r="X22" t="str">
            <v>Spring</v>
          </cell>
          <cell r="Y22">
            <v>2015</v>
          </cell>
          <cell r="Z22" t="str">
            <v>High School</v>
          </cell>
          <cell r="AA22">
            <v>2014</v>
          </cell>
          <cell r="AE22" t="str">
            <v>Gali</v>
          </cell>
          <cell r="AF22" t="str">
            <v>Zakho</v>
          </cell>
          <cell r="AG22" t="str">
            <v>Abasik</v>
          </cell>
          <cell r="AH22">
            <v>61</v>
          </cell>
          <cell r="AK22">
            <v>61</v>
          </cell>
          <cell r="AM22">
            <v>61</v>
          </cell>
          <cell r="AP22">
            <v>4</v>
          </cell>
          <cell r="BI22">
            <v>1</v>
          </cell>
        </row>
        <row r="23">
          <cell r="D23" t="str">
            <v>A21500097</v>
          </cell>
          <cell r="E23" t="str">
            <v>Hasan</v>
          </cell>
          <cell r="F23" t="str">
            <v>Ahmed</v>
          </cell>
          <cell r="G23" t="str">
            <v>Qasim</v>
          </cell>
          <cell r="H23" t="str">
            <v>Male</v>
          </cell>
          <cell r="I23">
            <v>1994</v>
          </cell>
          <cell r="J23" t="str">
            <v>Kurdish</v>
          </cell>
          <cell r="K23">
            <v>7501996620</v>
          </cell>
          <cell r="L23">
            <v>7507306825</v>
          </cell>
          <cell r="M23" t="str">
            <v>hasanalmzori@yahoo.com</v>
          </cell>
          <cell r="N23" t="str">
            <v>Yes</v>
          </cell>
          <cell r="O23" t="str">
            <v>No</v>
          </cell>
          <cell r="P23" t="str">
            <v>Local</v>
          </cell>
          <cell r="Q23" t="str">
            <v>First Year</v>
          </cell>
          <cell r="R23" t="str">
            <v>Regular</v>
          </cell>
          <cell r="T23" t="str">
            <v>Accepted</v>
          </cell>
          <cell r="V23" t="str">
            <v>Spring</v>
          </cell>
          <cell r="W23">
            <v>2015</v>
          </cell>
          <cell r="X23" t="str">
            <v>Spring</v>
          </cell>
          <cell r="Y23">
            <v>2015</v>
          </cell>
          <cell r="Z23" t="str">
            <v>High School</v>
          </cell>
          <cell r="AA23">
            <v>2013</v>
          </cell>
          <cell r="AB23">
            <v>2</v>
          </cell>
          <cell r="AC23">
            <v>2</v>
          </cell>
          <cell r="AD23" t="str">
            <v>Science</v>
          </cell>
          <cell r="AE23" t="str">
            <v>Altaakhi</v>
          </cell>
          <cell r="AF23" t="str">
            <v xml:space="preserve">Duhok </v>
          </cell>
          <cell r="AG23" t="str">
            <v>Hay Alaskaree</v>
          </cell>
          <cell r="AH23">
            <v>58</v>
          </cell>
          <cell r="AK23">
            <v>58</v>
          </cell>
          <cell r="AM23">
            <v>58</v>
          </cell>
          <cell r="AN23" t="str">
            <v>74</v>
          </cell>
          <cell r="AP23">
            <v>6</v>
          </cell>
          <cell r="BB23">
            <v>1</v>
          </cell>
        </row>
        <row r="24">
          <cell r="D24" t="str">
            <v>N/A</v>
          </cell>
          <cell r="E24" t="str">
            <v>Areen</v>
          </cell>
          <cell r="F24" t="str">
            <v>Jameel</v>
          </cell>
          <cell r="G24" t="str">
            <v>Khaleel</v>
          </cell>
          <cell r="J24" t="str">
            <v>Kurdish</v>
          </cell>
          <cell r="K24">
            <v>7507781143</v>
          </cell>
          <cell r="L24">
            <v>7504570849</v>
          </cell>
          <cell r="T24" t="str">
            <v>Pending</v>
          </cell>
          <cell r="V24" t="str">
            <v>Spring</v>
          </cell>
          <cell r="W24">
            <v>2015</v>
          </cell>
          <cell r="AH24">
            <v>77</v>
          </cell>
          <cell r="AK24">
            <v>77</v>
          </cell>
          <cell r="AM24">
            <v>77</v>
          </cell>
          <cell r="AP24">
            <v>6</v>
          </cell>
        </row>
        <row r="25">
          <cell r="D25" t="str">
            <v>A21500058</v>
          </cell>
          <cell r="E25" t="str">
            <v>Dayan</v>
          </cell>
          <cell r="F25" t="str">
            <v>Ibraheem</v>
          </cell>
          <cell r="G25" t="str">
            <v>Ogaid</v>
          </cell>
          <cell r="H25" t="str">
            <v>Male</v>
          </cell>
          <cell r="I25">
            <v>1994</v>
          </cell>
          <cell r="J25" t="str">
            <v>Kurdish</v>
          </cell>
          <cell r="K25">
            <v>7504157700</v>
          </cell>
          <cell r="N25" t="str">
            <v>No</v>
          </cell>
          <cell r="O25" t="str">
            <v>No</v>
          </cell>
          <cell r="P25" t="str">
            <v>Local</v>
          </cell>
          <cell r="Q25" t="str">
            <v>First Year</v>
          </cell>
          <cell r="R25" t="str">
            <v>Regular</v>
          </cell>
          <cell r="T25" t="str">
            <v>Accepted</v>
          </cell>
          <cell r="V25" t="str">
            <v>Spring</v>
          </cell>
          <cell r="W25">
            <v>2015</v>
          </cell>
          <cell r="X25" t="str">
            <v>Spring</v>
          </cell>
          <cell r="Y25">
            <v>2015</v>
          </cell>
          <cell r="Z25" t="str">
            <v>High School</v>
          </cell>
          <cell r="AA25">
            <v>2014</v>
          </cell>
          <cell r="AB25">
            <v>2</v>
          </cell>
          <cell r="AC25">
            <v>1</v>
          </cell>
          <cell r="AD25" t="str">
            <v>Science</v>
          </cell>
          <cell r="AE25" t="str">
            <v>Isheq</v>
          </cell>
          <cell r="AF25" t="str">
            <v>Duhok</v>
          </cell>
          <cell r="AG25" t="str">
            <v>K.R.O</v>
          </cell>
          <cell r="AH25">
            <v>73.8</v>
          </cell>
          <cell r="AK25">
            <v>73.8</v>
          </cell>
          <cell r="AM25">
            <v>73.8</v>
          </cell>
          <cell r="AP25">
            <v>6</v>
          </cell>
          <cell r="BG25">
            <v>1</v>
          </cell>
        </row>
        <row r="26">
          <cell r="D26" t="str">
            <v>N/A</v>
          </cell>
          <cell r="E26" t="str">
            <v>Bushra</v>
          </cell>
          <cell r="F26" t="str">
            <v>Hassan</v>
          </cell>
          <cell r="G26" t="str">
            <v>Asaad</v>
          </cell>
          <cell r="H26" t="str">
            <v>Female</v>
          </cell>
          <cell r="J26" t="str">
            <v>Kurdish</v>
          </cell>
          <cell r="K26">
            <v>7504731795</v>
          </cell>
          <cell r="L26">
            <v>7507450457</v>
          </cell>
          <cell r="T26" t="str">
            <v>Pending</v>
          </cell>
          <cell r="V26" t="str">
            <v>Spring</v>
          </cell>
          <cell r="W26">
            <v>2015</v>
          </cell>
          <cell r="AH26">
            <v>67</v>
          </cell>
          <cell r="AK26">
            <v>67</v>
          </cell>
          <cell r="AM26">
            <v>67</v>
          </cell>
          <cell r="AP26">
            <v>4</v>
          </cell>
          <cell r="BJ26">
            <v>1</v>
          </cell>
        </row>
        <row r="27">
          <cell r="D27" t="str">
            <v>A21500061</v>
          </cell>
          <cell r="E27" t="str">
            <v>Saif</v>
          </cell>
          <cell r="F27" t="str">
            <v>Salam</v>
          </cell>
          <cell r="G27" t="str">
            <v>Khider</v>
          </cell>
          <cell r="H27" t="str">
            <v>Male</v>
          </cell>
          <cell r="I27">
            <v>1995</v>
          </cell>
          <cell r="J27" t="str">
            <v>Kurdish</v>
          </cell>
          <cell r="K27">
            <v>7710428536</v>
          </cell>
          <cell r="N27" t="str">
            <v>No</v>
          </cell>
          <cell r="O27" t="str">
            <v>No</v>
          </cell>
          <cell r="P27" t="str">
            <v>Local</v>
          </cell>
          <cell r="Q27" t="str">
            <v>First Year</v>
          </cell>
          <cell r="R27" t="str">
            <v>Regular</v>
          </cell>
          <cell r="T27" t="str">
            <v>Accepted</v>
          </cell>
          <cell r="V27" t="str">
            <v>Spring</v>
          </cell>
          <cell r="W27">
            <v>2015</v>
          </cell>
          <cell r="X27" t="str">
            <v>Spring</v>
          </cell>
          <cell r="Y27">
            <v>2015</v>
          </cell>
          <cell r="Z27" t="str">
            <v>High School</v>
          </cell>
          <cell r="AA27">
            <v>2013</v>
          </cell>
          <cell r="AE27" t="str">
            <v>Bashiqa</v>
          </cell>
          <cell r="AF27" t="str">
            <v>Duhok</v>
          </cell>
          <cell r="AG27" t="str">
            <v>Masike 2</v>
          </cell>
          <cell r="AH27">
            <v>59.16</v>
          </cell>
          <cell r="AK27">
            <v>59.16</v>
          </cell>
          <cell r="AM27">
            <v>59.16</v>
          </cell>
          <cell r="AP27">
            <v>4</v>
          </cell>
          <cell r="BB27">
            <v>1</v>
          </cell>
        </row>
        <row r="28">
          <cell r="D28" t="str">
            <v>N/A</v>
          </cell>
          <cell r="E28" t="str">
            <v>Syamed</v>
          </cell>
          <cell r="F28" t="str">
            <v>Agly</v>
          </cell>
          <cell r="G28" t="str">
            <v>Saddiq</v>
          </cell>
          <cell r="H28" t="str">
            <v>Male</v>
          </cell>
          <cell r="J28" t="str">
            <v>Kurdish</v>
          </cell>
          <cell r="K28">
            <v>7505627036</v>
          </cell>
          <cell r="T28" t="str">
            <v>Pending</v>
          </cell>
          <cell r="V28" t="str">
            <v>Spring</v>
          </cell>
          <cell r="W28">
            <v>2015</v>
          </cell>
          <cell r="AF28" t="str">
            <v>Duhok</v>
          </cell>
          <cell r="AG28" t="str">
            <v>Daben 2</v>
          </cell>
          <cell r="AH28">
            <v>59.18</v>
          </cell>
          <cell r="AK28">
            <v>59.18</v>
          </cell>
          <cell r="AM28">
            <v>59.18</v>
          </cell>
          <cell r="AP28">
            <v>5</v>
          </cell>
          <cell r="AQ28">
            <v>1</v>
          </cell>
        </row>
        <row r="29">
          <cell r="D29" t="str">
            <v>N/A</v>
          </cell>
          <cell r="E29" t="str">
            <v>Reda</v>
          </cell>
          <cell r="F29" t="str">
            <v>Hussain</v>
          </cell>
          <cell r="G29" t="str">
            <v>Mustafa</v>
          </cell>
          <cell r="H29" t="str">
            <v>Male</v>
          </cell>
          <cell r="I29">
            <v>1996</v>
          </cell>
          <cell r="J29" t="str">
            <v>Kurdish</v>
          </cell>
          <cell r="K29">
            <v>7702852858</v>
          </cell>
          <cell r="L29">
            <v>7712922994</v>
          </cell>
          <cell r="P29" t="str">
            <v>Local</v>
          </cell>
          <cell r="R29" t="str">
            <v>Regular</v>
          </cell>
          <cell r="T29" t="str">
            <v>Pending</v>
          </cell>
          <cell r="V29" t="str">
            <v>Spring</v>
          </cell>
          <cell r="W29">
            <v>2015</v>
          </cell>
          <cell r="AF29" t="str">
            <v>Duhok</v>
          </cell>
          <cell r="AG29" t="str">
            <v>Tanahi</v>
          </cell>
          <cell r="AH29">
            <v>73.400000000000006</v>
          </cell>
          <cell r="AK29">
            <v>73.400000000000006</v>
          </cell>
          <cell r="AM29">
            <v>73.400000000000006</v>
          </cell>
          <cell r="AP29">
            <v>6</v>
          </cell>
          <cell r="AQ29">
            <v>1</v>
          </cell>
        </row>
        <row r="30">
          <cell r="D30" t="str">
            <v>A21500063</v>
          </cell>
          <cell r="E30" t="str">
            <v>Gulizar</v>
          </cell>
          <cell r="F30" t="str">
            <v>Ahmed</v>
          </cell>
          <cell r="G30" t="str">
            <v>Abdullah</v>
          </cell>
          <cell r="H30" t="str">
            <v>Female</v>
          </cell>
          <cell r="I30">
            <v>1997</v>
          </cell>
          <cell r="J30" t="str">
            <v>Kurdish</v>
          </cell>
          <cell r="K30">
            <v>7508505103</v>
          </cell>
          <cell r="M30" t="str">
            <v>golizargermavi@yahoo.com</v>
          </cell>
          <cell r="N30" t="str">
            <v>No</v>
          </cell>
          <cell r="O30" t="str">
            <v>No</v>
          </cell>
          <cell r="P30" t="str">
            <v>Local</v>
          </cell>
          <cell r="Q30" t="str">
            <v>First Year</v>
          </cell>
          <cell r="R30" t="str">
            <v>Regular</v>
          </cell>
          <cell r="T30" t="str">
            <v>Accepted</v>
          </cell>
          <cell r="V30" t="str">
            <v>Spring</v>
          </cell>
          <cell r="W30">
            <v>2015</v>
          </cell>
          <cell r="X30" t="str">
            <v>Spring</v>
          </cell>
          <cell r="Y30">
            <v>2015</v>
          </cell>
          <cell r="Z30" t="str">
            <v>High School</v>
          </cell>
          <cell r="AA30">
            <v>2014</v>
          </cell>
          <cell r="AB30">
            <v>1</v>
          </cell>
          <cell r="AC30">
            <v>1</v>
          </cell>
          <cell r="AD30" t="str">
            <v>Arts</v>
          </cell>
          <cell r="AE30" t="str">
            <v>Duhok</v>
          </cell>
          <cell r="AF30" t="str">
            <v>Duhok</v>
          </cell>
          <cell r="AG30" t="str">
            <v>Grebase</v>
          </cell>
          <cell r="AH30">
            <v>58.4</v>
          </cell>
          <cell r="AK30">
            <v>58.4</v>
          </cell>
          <cell r="AM30">
            <v>58.4</v>
          </cell>
          <cell r="AP30">
            <v>3</v>
          </cell>
          <cell r="BG30">
            <v>1</v>
          </cell>
        </row>
        <row r="31">
          <cell r="D31" t="str">
            <v>N/A</v>
          </cell>
          <cell r="E31" t="str">
            <v>Jutiar</v>
          </cell>
          <cell r="F31" t="str">
            <v>Saleem</v>
          </cell>
          <cell r="G31" t="str">
            <v>Mohammed</v>
          </cell>
          <cell r="H31" t="str">
            <v>Male</v>
          </cell>
          <cell r="J31" t="str">
            <v>Kurdish</v>
          </cell>
          <cell r="K31">
            <v>624459466</v>
          </cell>
          <cell r="L31">
            <v>7504459466</v>
          </cell>
          <cell r="T31" t="str">
            <v>Pending</v>
          </cell>
          <cell r="V31" t="str">
            <v>Spring</v>
          </cell>
          <cell r="W31">
            <v>2015</v>
          </cell>
          <cell r="AF31" t="str">
            <v>Duhok</v>
          </cell>
          <cell r="AG31" t="str">
            <v>Daben 2</v>
          </cell>
          <cell r="AH31">
            <v>55</v>
          </cell>
          <cell r="AK31">
            <v>55</v>
          </cell>
          <cell r="AM31">
            <v>55</v>
          </cell>
          <cell r="BJ31">
            <v>1</v>
          </cell>
        </row>
        <row r="32">
          <cell r="D32" t="str">
            <v>N/A</v>
          </cell>
          <cell r="E32" t="str">
            <v>Nihad</v>
          </cell>
          <cell r="F32" t="str">
            <v>Khaleel</v>
          </cell>
          <cell r="G32" t="str">
            <v>Issa</v>
          </cell>
          <cell r="H32" t="str">
            <v>Male</v>
          </cell>
          <cell r="I32">
            <v>1994</v>
          </cell>
          <cell r="J32" t="str">
            <v>Kurdish</v>
          </cell>
          <cell r="K32">
            <v>7504314990</v>
          </cell>
          <cell r="L32">
            <v>7504495047</v>
          </cell>
          <cell r="T32" t="str">
            <v>Pending</v>
          </cell>
          <cell r="V32" t="str">
            <v>Spring</v>
          </cell>
          <cell r="W32">
            <v>2015</v>
          </cell>
          <cell r="AH32">
            <v>63</v>
          </cell>
          <cell r="AK32">
            <v>63</v>
          </cell>
          <cell r="AM32">
            <v>63</v>
          </cell>
          <cell r="BJ32">
            <v>1</v>
          </cell>
        </row>
        <row r="33">
          <cell r="D33" t="str">
            <v>A21500128</v>
          </cell>
          <cell r="E33" t="str">
            <v>Mohammed</v>
          </cell>
          <cell r="F33" t="str">
            <v>Kamil</v>
          </cell>
          <cell r="G33" t="str">
            <v>Mohammed</v>
          </cell>
          <cell r="H33" t="str">
            <v>Male</v>
          </cell>
          <cell r="J33" t="str">
            <v>Kurdish</v>
          </cell>
          <cell r="K33">
            <v>7511826054</v>
          </cell>
          <cell r="L33">
            <v>7504460344</v>
          </cell>
          <cell r="N33" t="str">
            <v>No</v>
          </cell>
          <cell r="O33" t="str">
            <v>No</v>
          </cell>
          <cell r="P33" t="str">
            <v>Local</v>
          </cell>
          <cell r="Q33" t="str">
            <v>First Year</v>
          </cell>
          <cell r="R33" t="str">
            <v>Regular</v>
          </cell>
          <cell r="T33" t="str">
            <v>Accepted</v>
          </cell>
          <cell r="V33" t="str">
            <v>Spring</v>
          </cell>
          <cell r="W33">
            <v>2015</v>
          </cell>
          <cell r="X33" t="str">
            <v>Spring</v>
          </cell>
          <cell r="Y33">
            <v>2015</v>
          </cell>
          <cell r="Z33" t="str">
            <v>High School</v>
          </cell>
          <cell r="AA33">
            <v>2014</v>
          </cell>
          <cell r="AB33">
            <v>1</v>
          </cell>
          <cell r="AC33">
            <v>2</v>
          </cell>
          <cell r="AD33" t="str">
            <v>Arts</v>
          </cell>
          <cell r="AE33" t="str">
            <v>Chiya</v>
          </cell>
          <cell r="AF33" t="str">
            <v>Duhok</v>
          </cell>
          <cell r="AG33" t="str">
            <v>Zari Land</v>
          </cell>
          <cell r="AH33">
            <v>61</v>
          </cell>
          <cell r="AK33">
            <v>61</v>
          </cell>
          <cell r="AM33">
            <v>61</v>
          </cell>
          <cell r="AP33">
            <v>5</v>
          </cell>
          <cell r="BG33">
            <v>1</v>
          </cell>
          <cell r="BJ33">
            <v>2</v>
          </cell>
        </row>
        <row r="34">
          <cell r="D34" t="str">
            <v>A21500085</v>
          </cell>
          <cell r="E34" t="str">
            <v>Rasheed</v>
          </cell>
          <cell r="F34" t="str">
            <v>Ismail</v>
          </cell>
          <cell r="G34" t="str">
            <v>Mustafa</v>
          </cell>
          <cell r="H34" t="str">
            <v>Male</v>
          </cell>
          <cell r="I34">
            <v>1995</v>
          </cell>
          <cell r="J34" t="str">
            <v>Kurdish</v>
          </cell>
          <cell r="K34">
            <v>7504397275</v>
          </cell>
          <cell r="L34">
            <v>7504591200</v>
          </cell>
          <cell r="M34" t="str">
            <v>rasheedmustafa957@yahoo.com</v>
          </cell>
          <cell r="N34" t="str">
            <v>No</v>
          </cell>
          <cell r="O34" t="str">
            <v>No</v>
          </cell>
          <cell r="P34" t="str">
            <v>Local</v>
          </cell>
          <cell r="Q34" t="str">
            <v>First Year</v>
          </cell>
          <cell r="R34" t="str">
            <v>Regular</v>
          </cell>
          <cell r="T34" t="str">
            <v>Accepted</v>
          </cell>
          <cell r="U34" t="str">
            <v>Freeze</v>
          </cell>
          <cell r="V34" t="str">
            <v>Spring</v>
          </cell>
          <cell r="W34">
            <v>2015</v>
          </cell>
          <cell r="X34" t="str">
            <v>Spring</v>
          </cell>
          <cell r="Y34">
            <v>2015</v>
          </cell>
          <cell r="Z34" t="str">
            <v>High School</v>
          </cell>
          <cell r="AA34">
            <v>2014</v>
          </cell>
          <cell r="AE34" t="str">
            <v>Kurd</v>
          </cell>
          <cell r="AF34" t="str">
            <v>Duhok</v>
          </cell>
          <cell r="AG34" t="str">
            <v>Sumel</v>
          </cell>
          <cell r="AH34">
            <v>64.400000000000006</v>
          </cell>
          <cell r="AK34">
            <v>64.400000000000006</v>
          </cell>
          <cell r="AM34">
            <v>64.400000000000006</v>
          </cell>
          <cell r="AP34">
            <v>5</v>
          </cell>
          <cell r="BG34">
            <v>1</v>
          </cell>
        </row>
        <row r="35">
          <cell r="D35" t="str">
            <v>N/A</v>
          </cell>
          <cell r="E35" t="str">
            <v>Rezan</v>
          </cell>
          <cell r="F35" t="str">
            <v>Ibrahim</v>
          </cell>
          <cell r="G35" t="str">
            <v>Mohammed</v>
          </cell>
          <cell r="J35" t="str">
            <v>Kurdish</v>
          </cell>
          <cell r="K35">
            <v>7504502006</v>
          </cell>
          <cell r="L35">
            <v>7504062007</v>
          </cell>
          <cell r="T35" t="str">
            <v>Pending</v>
          </cell>
          <cell r="V35" t="str">
            <v>Spring</v>
          </cell>
          <cell r="W35">
            <v>2015</v>
          </cell>
          <cell r="AH35">
            <v>56.8</v>
          </cell>
          <cell r="AK35">
            <v>56.8</v>
          </cell>
          <cell r="AM35">
            <v>56.8</v>
          </cell>
          <cell r="AP35">
            <v>2</v>
          </cell>
        </row>
        <row r="36">
          <cell r="D36" t="str">
            <v>A21500045</v>
          </cell>
          <cell r="E36" t="str">
            <v>Othman</v>
          </cell>
          <cell r="F36" t="str">
            <v>Omer</v>
          </cell>
          <cell r="G36" t="str">
            <v>Othman</v>
          </cell>
          <cell r="H36" t="str">
            <v>Male</v>
          </cell>
          <cell r="I36">
            <v>1993</v>
          </cell>
          <cell r="J36" t="str">
            <v>Kurdish</v>
          </cell>
          <cell r="K36">
            <v>7504456567</v>
          </cell>
          <cell r="L36">
            <v>7504499797</v>
          </cell>
          <cell r="M36" t="str">
            <v>othman_nanakali@yahoo.com</v>
          </cell>
          <cell r="N36" t="str">
            <v>No</v>
          </cell>
          <cell r="O36" t="str">
            <v>No</v>
          </cell>
          <cell r="P36" t="str">
            <v>Local</v>
          </cell>
          <cell r="Q36" t="str">
            <v>First Year</v>
          </cell>
          <cell r="R36" t="str">
            <v>Regular</v>
          </cell>
          <cell r="T36" t="str">
            <v>Accepted</v>
          </cell>
          <cell r="V36" t="str">
            <v>Spring</v>
          </cell>
          <cell r="W36">
            <v>2015</v>
          </cell>
          <cell r="X36" t="str">
            <v>Spring</v>
          </cell>
          <cell r="Y36">
            <v>2015</v>
          </cell>
          <cell r="Z36" t="str">
            <v>High School</v>
          </cell>
          <cell r="AA36">
            <v>2012</v>
          </cell>
          <cell r="AD36" t="str">
            <v>Science</v>
          </cell>
          <cell r="AE36" t="str">
            <v>Rizgari</v>
          </cell>
          <cell r="AF36" t="str">
            <v>Hawler</v>
          </cell>
          <cell r="AG36" t="str">
            <v>Roj enter</v>
          </cell>
          <cell r="AH36">
            <v>61.14</v>
          </cell>
          <cell r="AK36">
            <v>61.14</v>
          </cell>
          <cell r="AM36">
            <v>61.14</v>
          </cell>
          <cell r="AN36" t="str">
            <v>31</v>
          </cell>
          <cell r="AO36">
            <v>5</v>
          </cell>
          <cell r="AP36">
            <v>5</v>
          </cell>
          <cell r="BI36">
            <v>1</v>
          </cell>
          <cell r="BJ36">
            <v>2</v>
          </cell>
        </row>
        <row r="37">
          <cell r="D37" t="str">
            <v>N/A</v>
          </cell>
          <cell r="E37" t="str">
            <v>Esraa</v>
          </cell>
          <cell r="F37" t="str">
            <v>Rasheed</v>
          </cell>
          <cell r="G37" t="str">
            <v>Mustafa</v>
          </cell>
          <cell r="J37" t="str">
            <v>Syrian</v>
          </cell>
          <cell r="K37">
            <v>7508586021</v>
          </cell>
          <cell r="T37" t="str">
            <v>Pending</v>
          </cell>
          <cell r="V37" t="str">
            <v>Spring</v>
          </cell>
          <cell r="W37">
            <v>2015</v>
          </cell>
          <cell r="AK37">
            <v>0</v>
          </cell>
          <cell r="AM37">
            <v>0</v>
          </cell>
        </row>
        <row r="38">
          <cell r="D38" t="str">
            <v>N/A</v>
          </cell>
          <cell r="E38" t="str">
            <v>Sagvan</v>
          </cell>
          <cell r="F38" t="str">
            <v>Ibrahim</v>
          </cell>
          <cell r="G38" t="str">
            <v>Mohammed</v>
          </cell>
          <cell r="H38" t="str">
            <v>Male</v>
          </cell>
          <cell r="J38" t="str">
            <v>Kurdish</v>
          </cell>
          <cell r="K38">
            <v>7504502006</v>
          </cell>
          <cell r="L38">
            <v>7504344555</v>
          </cell>
          <cell r="T38" t="str">
            <v>Pending</v>
          </cell>
          <cell r="V38" t="str">
            <v>Spring</v>
          </cell>
          <cell r="W38">
            <v>2015</v>
          </cell>
          <cell r="AH38">
            <v>62.6</v>
          </cell>
          <cell r="AK38">
            <v>62.6</v>
          </cell>
          <cell r="AM38">
            <v>62.6</v>
          </cell>
          <cell r="AP38">
            <v>3</v>
          </cell>
        </row>
        <row r="39">
          <cell r="D39" t="str">
            <v>N/A</v>
          </cell>
          <cell r="E39" t="str">
            <v>Dilovan</v>
          </cell>
          <cell r="F39" t="str">
            <v>Esmat</v>
          </cell>
          <cell r="G39" t="str">
            <v>Omar</v>
          </cell>
          <cell r="H39" t="str">
            <v>Male</v>
          </cell>
          <cell r="J39" t="str">
            <v>Kurdish</v>
          </cell>
          <cell r="K39">
            <v>7503053595</v>
          </cell>
          <cell r="T39" t="str">
            <v>Pending</v>
          </cell>
          <cell r="V39" t="str">
            <v>Spring</v>
          </cell>
          <cell r="W39">
            <v>2015</v>
          </cell>
          <cell r="AH39">
            <v>61</v>
          </cell>
          <cell r="AK39">
            <v>61</v>
          </cell>
          <cell r="AM39">
            <v>61</v>
          </cell>
          <cell r="AP39">
            <v>3</v>
          </cell>
        </row>
        <row r="40">
          <cell r="D40" t="str">
            <v>N/A</v>
          </cell>
          <cell r="E40" t="str">
            <v>Nadeen</v>
          </cell>
          <cell r="F40" t="str">
            <v>Salym</v>
          </cell>
          <cell r="G40" t="str">
            <v>Khuder</v>
          </cell>
          <cell r="J40" t="str">
            <v>Kurdish</v>
          </cell>
          <cell r="K40">
            <v>7503521478</v>
          </cell>
          <cell r="T40" t="str">
            <v>Pending</v>
          </cell>
          <cell r="V40" t="str">
            <v>Spring</v>
          </cell>
          <cell r="W40">
            <v>2015</v>
          </cell>
          <cell r="AF40" t="str">
            <v>Duhok</v>
          </cell>
          <cell r="AG40" t="str">
            <v>K.R.O</v>
          </cell>
          <cell r="AH40">
            <v>75</v>
          </cell>
          <cell r="AK40">
            <v>75</v>
          </cell>
          <cell r="AM40">
            <v>75</v>
          </cell>
          <cell r="AP40">
            <v>6</v>
          </cell>
          <cell r="AS40">
            <v>1</v>
          </cell>
        </row>
        <row r="41">
          <cell r="D41" t="str">
            <v>N/A</v>
          </cell>
          <cell r="E41" t="str">
            <v>Idrees</v>
          </cell>
          <cell r="F41" t="str">
            <v>Rasheed</v>
          </cell>
          <cell r="G41" t="str">
            <v>Sadeq</v>
          </cell>
          <cell r="H41" t="str">
            <v>Male</v>
          </cell>
          <cell r="J41" t="str">
            <v>Kurdish</v>
          </cell>
          <cell r="K41">
            <v>7504969433</v>
          </cell>
          <cell r="T41" t="str">
            <v>Pending</v>
          </cell>
          <cell r="V41" t="str">
            <v>Spring</v>
          </cell>
          <cell r="W41">
            <v>2015</v>
          </cell>
          <cell r="AF41" t="str">
            <v>Duhok</v>
          </cell>
          <cell r="AG41" t="str">
            <v>Nzarke</v>
          </cell>
          <cell r="AH41">
            <v>88</v>
          </cell>
          <cell r="AK41">
            <v>88</v>
          </cell>
          <cell r="AM41">
            <v>88</v>
          </cell>
          <cell r="AP41">
            <v>3</v>
          </cell>
          <cell r="BG41">
            <v>1</v>
          </cell>
        </row>
        <row r="42">
          <cell r="D42" t="str">
            <v>A21500043</v>
          </cell>
          <cell r="E42" t="str">
            <v>Dara</v>
          </cell>
          <cell r="F42" t="str">
            <v>Ahmed</v>
          </cell>
          <cell r="G42" t="str">
            <v>Younis</v>
          </cell>
          <cell r="H42" t="str">
            <v>Male</v>
          </cell>
          <cell r="I42">
            <v>1992</v>
          </cell>
          <cell r="J42" t="str">
            <v>Kurdish</v>
          </cell>
          <cell r="K42">
            <v>7700071155</v>
          </cell>
          <cell r="L42">
            <v>7504357449</v>
          </cell>
          <cell r="M42" t="str">
            <v>dara.mizori@gmail.com</v>
          </cell>
          <cell r="N42" t="str">
            <v>No</v>
          </cell>
          <cell r="O42" t="str">
            <v>No</v>
          </cell>
          <cell r="P42" t="str">
            <v>Local</v>
          </cell>
          <cell r="Q42" t="str">
            <v>Transfer</v>
          </cell>
          <cell r="R42" t="str">
            <v>Regular</v>
          </cell>
          <cell r="T42" t="str">
            <v>Accepted</v>
          </cell>
          <cell r="V42" t="str">
            <v>Spring</v>
          </cell>
          <cell r="W42">
            <v>2015</v>
          </cell>
          <cell r="X42" t="str">
            <v>Spring</v>
          </cell>
          <cell r="Y42">
            <v>2015</v>
          </cell>
          <cell r="Z42" t="str">
            <v>High School</v>
          </cell>
          <cell r="AA42">
            <v>2011</v>
          </cell>
          <cell r="AB42">
            <v>2</v>
          </cell>
          <cell r="AC42">
            <v>1</v>
          </cell>
          <cell r="AD42" t="str">
            <v>Science</v>
          </cell>
          <cell r="AE42" t="str">
            <v>Brayate</v>
          </cell>
          <cell r="AF42" t="str">
            <v>Duhok</v>
          </cell>
          <cell r="AG42" t="str">
            <v>Masike</v>
          </cell>
          <cell r="AH42">
            <v>81</v>
          </cell>
          <cell r="AK42">
            <v>81</v>
          </cell>
          <cell r="AM42">
            <v>81</v>
          </cell>
          <cell r="AN42" t="str">
            <v>80</v>
          </cell>
          <cell r="AP42">
            <v>6</v>
          </cell>
          <cell r="BG42">
            <v>1</v>
          </cell>
        </row>
        <row r="43">
          <cell r="D43" t="str">
            <v>N/A</v>
          </cell>
          <cell r="E43" t="str">
            <v>Wijdan</v>
          </cell>
          <cell r="F43" t="str">
            <v>Abdulhakeem</v>
          </cell>
          <cell r="G43" t="str">
            <v>Mohammed</v>
          </cell>
          <cell r="J43" t="str">
            <v>Kurdish</v>
          </cell>
          <cell r="K43">
            <v>7504503149</v>
          </cell>
          <cell r="L43">
            <v>7510675066</v>
          </cell>
          <cell r="T43" t="str">
            <v>Pending</v>
          </cell>
          <cell r="V43" t="str">
            <v>Spring</v>
          </cell>
          <cell r="W43">
            <v>2015</v>
          </cell>
          <cell r="AF43" t="str">
            <v>Duhok</v>
          </cell>
          <cell r="AH43">
            <v>74</v>
          </cell>
          <cell r="AK43">
            <v>74</v>
          </cell>
          <cell r="AM43">
            <v>74</v>
          </cell>
          <cell r="AP43">
            <v>5</v>
          </cell>
          <cell r="BG43">
            <v>1</v>
          </cell>
        </row>
        <row r="44">
          <cell r="D44" t="str">
            <v>A21500105</v>
          </cell>
          <cell r="E44" t="str">
            <v>Sherko</v>
          </cell>
          <cell r="F44" t="str">
            <v>Bangeen</v>
          </cell>
          <cell r="G44" t="str">
            <v>Fattah</v>
          </cell>
          <cell r="H44" t="str">
            <v>Male</v>
          </cell>
          <cell r="I44">
            <v>1997</v>
          </cell>
          <cell r="J44" t="str">
            <v>Kurdish</v>
          </cell>
          <cell r="K44">
            <v>7507527883</v>
          </cell>
          <cell r="L44">
            <v>7504544969</v>
          </cell>
          <cell r="M44" t="str">
            <v>sherkopedawi@yahoo.com</v>
          </cell>
          <cell r="N44" t="str">
            <v>No</v>
          </cell>
          <cell r="O44" t="str">
            <v>No</v>
          </cell>
          <cell r="P44" t="str">
            <v>Local</v>
          </cell>
          <cell r="Q44" t="str">
            <v>First Year</v>
          </cell>
          <cell r="R44" t="str">
            <v>Regular</v>
          </cell>
          <cell r="T44" t="str">
            <v>Accepted</v>
          </cell>
          <cell r="V44" t="str">
            <v>Spring</v>
          </cell>
          <cell r="W44">
            <v>2015</v>
          </cell>
          <cell r="X44" t="str">
            <v>Spring</v>
          </cell>
          <cell r="Y44">
            <v>2015</v>
          </cell>
          <cell r="Z44" t="str">
            <v>High School</v>
          </cell>
          <cell r="AA44">
            <v>2014</v>
          </cell>
          <cell r="AB44">
            <v>1</v>
          </cell>
          <cell r="AC44">
            <v>1</v>
          </cell>
          <cell r="AD44" t="str">
            <v>Science</v>
          </cell>
          <cell r="AE44" t="str">
            <v>Bizhara</v>
          </cell>
          <cell r="AF44" t="str">
            <v>Duhok</v>
          </cell>
          <cell r="AG44" t="str">
            <v>Hay Alaskaree</v>
          </cell>
          <cell r="AH44">
            <v>67</v>
          </cell>
          <cell r="AK44">
            <v>67</v>
          </cell>
          <cell r="AM44">
            <v>67</v>
          </cell>
          <cell r="AP44">
            <v>6</v>
          </cell>
          <cell r="BI44">
            <v>1</v>
          </cell>
        </row>
        <row r="45">
          <cell r="D45" t="str">
            <v>N/A</v>
          </cell>
          <cell r="E45" t="str">
            <v>Omar</v>
          </cell>
          <cell r="F45" t="str">
            <v>Faruk</v>
          </cell>
          <cell r="G45" t="str">
            <v>Hanifi</v>
          </cell>
          <cell r="H45" t="str">
            <v>Male</v>
          </cell>
          <cell r="J45" t="str">
            <v>Kurdish</v>
          </cell>
          <cell r="K45">
            <v>7502425763</v>
          </cell>
          <cell r="L45">
            <v>5322652367</v>
          </cell>
          <cell r="T45" t="str">
            <v>Pending</v>
          </cell>
          <cell r="V45" t="str">
            <v>Spring</v>
          </cell>
          <cell r="W45">
            <v>2015</v>
          </cell>
          <cell r="AH45">
            <v>65</v>
          </cell>
          <cell r="AK45">
            <v>65</v>
          </cell>
          <cell r="AM45">
            <v>65</v>
          </cell>
          <cell r="AP45">
            <v>1</v>
          </cell>
          <cell r="BJ45">
            <v>1</v>
          </cell>
        </row>
        <row r="46">
          <cell r="D46" t="str">
            <v>N/A</v>
          </cell>
          <cell r="E46" t="str">
            <v>Shadan</v>
          </cell>
          <cell r="F46" t="str">
            <v>Shamsadeen</v>
          </cell>
          <cell r="G46" t="str">
            <v>Saydavae</v>
          </cell>
          <cell r="J46" t="str">
            <v>Kurdish</v>
          </cell>
          <cell r="K46">
            <v>7507772700</v>
          </cell>
          <cell r="L46">
            <v>7507682233</v>
          </cell>
          <cell r="T46" t="str">
            <v>Pending</v>
          </cell>
          <cell r="V46" t="str">
            <v>Spring</v>
          </cell>
          <cell r="W46">
            <v>2015</v>
          </cell>
          <cell r="AH46">
            <v>61</v>
          </cell>
          <cell r="AK46">
            <v>61</v>
          </cell>
          <cell r="AM46">
            <v>61</v>
          </cell>
          <cell r="AP46">
            <v>4</v>
          </cell>
          <cell r="AW46">
            <v>1</v>
          </cell>
        </row>
        <row r="47">
          <cell r="D47" t="str">
            <v>A21500088</v>
          </cell>
          <cell r="E47" t="str">
            <v>Kawa</v>
          </cell>
          <cell r="F47" t="str">
            <v>Nasraddin</v>
          </cell>
          <cell r="G47" t="str">
            <v>Yahya</v>
          </cell>
          <cell r="H47" t="str">
            <v>Male</v>
          </cell>
          <cell r="I47">
            <v>1985</v>
          </cell>
          <cell r="J47" t="str">
            <v>Kurdish</v>
          </cell>
          <cell r="K47">
            <v>7504993036</v>
          </cell>
          <cell r="L47">
            <v>7504825293</v>
          </cell>
          <cell r="M47" t="str">
            <v>kawasinjary85@yahoo.com</v>
          </cell>
          <cell r="N47" t="str">
            <v>No</v>
          </cell>
          <cell r="O47" t="str">
            <v>No</v>
          </cell>
          <cell r="P47" t="str">
            <v>Local</v>
          </cell>
          <cell r="Q47" t="str">
            <v>Transfer</v>
          </cell>
          <cell r="R47" t="str">
            <v>Regular</v>
          </cell>
          <cell r="T47" t="str">
            <v>Accepted</v>
          </cell>
          <cell r="V47" t="str">
            <v>Spring</v>
          </cell>
          <cell r="W47">
            <v>2015</v>
          </cell>
          <cell r="X47" t="str">
            <v>Spring</v>
          </cell>
          <cell r="Y47">
            <v>2015</v>
          </cell>
          <cell r="Z47" t="str">
            <v xml:space="preserve"> 5-Year Institute</v>
          </cell>
          <cell r="AA47">
            <v>2011</v>
          </cell>
          <cell r="AB47">
            <v>1</v>
          </cell>
          <cell r="AC47">
            <v>1</v>
          </cell>
          <cell r="AE47" t="str">
            <v>Computer Institute</v>
          </cell>
          <cell r="AF47" t="str">
            <v>Duhok</v>
          </cell>
          <cell r="AG47" t="str">
            <v>Grebase</v>
          </cell>
          <cell r="AH47">
            <v>84</v>
          </cell>
          <cell r="AK47">
            <v>84</v>
          </cell>
          <cell r="AM47">
            <v>84</v>
          </cell>
          <cell r="AP47">
            <v>5</v>
          </cell>
          <cell r="AU47">
            <v>1</v>
          </cell>
        </row>
        <row r="48">
          <cell r="D48" t="str">
            <v>N/A</v>
          </cell>
          <cell r="E48" t="str">
            <v>Parween</v>
          </cell>
          <cell r="F48" t="str">
            <v>Faisal</v>
          </cell>
          <cell r="G48" t="str">
            <v>Ramadan</v>
          </cell>
          <cell r="H48" t="str">
            <v>Female</v>
          </cell>
          <cell r="J48" t="str">
            <v>Kurdish</v>
          </cell>
          <cell r="K48">
            <v>7504618811</v>
          </cell>
          <cell r="L48">
            <v>7507131957</v>
          </cell>
          <cell r="T48" t="str">
            <v>Pending</v>
          </cell>
          <cell r="V48" t="str">
            <v>Spring</v>
          </cell>
          <cell r="W48">
            <v>2015</v>
          </cell>
          <cell r="AH48">
            <v>58</v>
          </cell>
          <cell r="AK48">
            <v>58</v>
          </cell>
          <cell r="AM48">
            <v>58</v>
          </cell>
        </row>
        <row r="49">
          <cell r="D49" t="str">
            <v>A21500070</v>
          </cell>
          <cell r="E49" t="str">
            <v>Amad</v>
          </cell>
          <cell r="F49" t="str">
            <v>Mushir</v>
          </cell>
          <cell r="G49" t="str">
            <v>Muhammad</v>
          </cell>
          <cell r="H49" t="str">
            <v>Male</v>
          </cell>
          <cell r="I49">
            <v>1994</v>
          </cell>
          <cell r="J49" t="str">
            <v>Kurdish</v>
          </cell>
          <cell r="K49">
            <v>7504337187</v>
          </cell>
          <cell r="L49">
            <v>7504455109</v>
          </cell>
          <cell r="N49" t="str">
            <v>No</v>
          </cell>
          <cell r="O49" t="str">
            <v>No</v>
          </cell>
          <cell r="P49" t="str">
            <v>Local</v>
          </cell>
          <cell r="Q49" t="str">
            <v>First Year</v>
          </cell>
          <cell r="R49" t="str">
            <v>Regular</v>
          </cell>
          <cell r="T49" t="str">
            <v>Accepted</v>
          </cell>
          <cell r="V49" t="str">
            <v>Spring</v>
          </cell>
          <cell r="W49">
            <v>2015</v>
          </cell>
          <cell r="X49" t="str">
            <v>Spring</v>
          </cell>
          <cell r="Y49">
            <v>2015</v>
          </cell>
          <cell r="Z49" t="str">
            <v>High School</v>
          </cell>
          <cell r="AA49">
            <v>2014</v>
          </cell>
          <cell r="AB49">
            <v>3</v>
          </cell>
          <cell r="AC49">
            <v>2</v>
          </cell>
          <cell r="AD49" t="str">
            <v>Science</v>
          </cell>
          <cell r="AE49" t="str">
            <v>Dowa Kurd</v>
          </cell>
          <cell r="AF49" t="str">
            <v>Duhok</v>
          </cell>
          <cell r="AG49" t="str">
            <v>Hay Alaskaree</v>
          </cell>
          <cell r="AH49">
            <v>66</v>
          </cell>
          <cell r="AK49">
            <v>66</v>
          </cell>
          <cell r="AM49">
            <v>66</v>
          </cell>
          <cell r="AP49">
            <v>6</v>
          </cell>
          <cell r="BG49">
            <v>1</v>
          </cell>
        </row>
        <row r="50">
          <cell r="D50" t="str">
            <v>A21500127</v>
          </cell>
          <cell r="E50" t="str">
            <v>Rozh</v>
          </cell>
          <cell r="F50" t="str">
            <v>Jamal</v>
          </cell>
          <cell r="G50" t="str">
            <v>Taher</v>
          </cell>
          <cell r="H50" t="str">
            <v>Male</v>
          </cell>
          <cell r="I50">
            <v>1996</v>
          </cell>
          <cell r="J50" t="str">
            <v>Kurdish</v>
          </cell>
          <cell r="K50">
            <v>7503042808</v>
          </cell>
          <cell r="L50">
            <v>7504458915</v>
          </cell>
          <cell r="M50" t="str">
            <v>roj.jamal@yahoo.com</v>
          </cell>
          <cell r="N50" t="str">
            <v>No</v>
          </cell>
          <cell r="O50" t="str">
            <v>No</v>
          </cell>
          <cell r="P50" t="str">
            <v>Local</v>
          </cell>
          <cell r="Q50" t="str">
            <v>First Year</v>
          </cell>
          <cell r="R50" t="str">
            <v>Regular</v>
          </cell>
          <cell r="T50" t="str">
            <v>Accepted</v>
          </cell>
          <cell r="V50" t="str">
            <v>Spring</v>
          </cell>
          <cell r="W50">
            <v>2015</v>
          </cell>
          <cell r="X50" t="str">
            <v>Spring</v>
          </cell>
          <cell r="Y50">
            <v>2015</v>
          </cell>
          <cell r="Z50" t="str">
            <v>High School</v>
          </cell>
          <cell r="AA50">
            <v>2014</v>
          </cell>
          <cell r="AB50">
            <v>1</v>
          </cell>
          <cell r="AC50">
            <v>2</v>
          </cell>
          <cell r="AD50" t="str">
            <v>Science</v>
          </cell>
          <cell r="AE50" t="str">
            <v>Bizhara</v>
          </cell>
          <cell r="AF50" t="str">
            <v>Duhok</v>
          </cell>
          <cell r="AG50" t="str">
            <v>Sumel</v>
          </cell>
          <cell r="AH50">
            <v>65</v>
          </cell>
          <cell r="AK50">
            <v>65</v>
          </cell>
          <cell r="AM50">
            <v>65</v>
          </cell>
          <cell r="AP50">
            <v>6</v>
          </cell>
          <cell r="BI50">
            <v>1</v>
          </cell>
        </row>
        <row r="51">
          <cell r="E51" t="str">
            <v>Kamiran</v>
          </cell>
          <cell r="F51" t="str">
            <v>Shaker</v>
          </cell>
          <cell r="G51" t="str">
            <v>Salim</v>
          </cell>
          <cell r="H51" t="str">
            <v>Male</v>
          </cell>
          <cell r="J51" t="str">
            <v>Kurdish</v>
          </cell>
          <cell r="K51">
            <v>7504761880</v>
          </cell>
          <cell r="L51">
            <v>7504501343</v>
          </cell>
          <cell r="T51" t="str">
            <v>Pending</v>
          </cell>
          <cell r="V51" t="str">
            <v>Spring</v>
          </cell>
          <cell r="W51">
            <v>2017</v>
          </cell>
          <cell r="AH51">
            <v>60</v>
          </cell>
          <cell r="AK51">
            <v>60</v>
          </cell>
          <cell r="AM51">
            <v>60</v>
          </cell>
          <cell r="AP51">
            <v>6</v>
          </cell>
          <cell r="BG51">
            <v>1</v>
          </cell>
        </row>
        <row r="52">
          <cell r="J52" t="str">
            <v>Kurdish</v>
          </cell>
          <cell r="AK52">
            <v>0</v>
          </cell>
          <cell r="AM52">
            <v>0</v>
          </cell>
        </row>
        <row r="53">
          <cell r="D53" t="str">
            <v>N/A</v>
          </cell>
          <cell r="E53" t="str">
            <v>Warbin</v>
          </cell>
          <cell r="F53" t="str">
            <v>Hashim</v>
          </cell>
          <cell r="G53" t="str">
            <v>Ahmed</v>
          </cell>
          <cell r="J53" t="str">
            <v>Kurdish</v>
          </cell>
          <cell r="K53">
            <v>7504178159</v>
          </cell>
          <cell r="L53">
            <v>7504177726</v>
          </cell>
          <cell r="T53" t="str">
            <v>Pending</v>
          </cell>
          <cell r="V53" t="str">
            <v>Spring</v>
          </cell>
          <cell r="W53">
            <v>2015</v>
          </cell>
          <cell r="AH53">
            <v>61</v>
          </cell>
          <cell r="AK53">
            <v>61</v>
          </cell>
          <cell r="AM53">
            <v>61</v>
          </cell>
          <cell r="AP53">
            <v>5</v>
          </cell>
          <cell r="BI53">
            <v>1</v>
          </cell>
        </row>
        <row r="54">
          <cell r="D54" t="str">
            <v>N/A</v>
          </cell>
          <cell r="E54" t="str">
            <v>Aveen</v>
          </cell>
          <cell r="F54" t="str">
            <v>Haji</v>
          </cell>
          <cell r="G54" t="str">
            <v>Ahmad</v>
          </cell>
          <cell r="H54" t="str">
            <v>Female</v>
          </cell>
          <cell r="J54" t="str">
            <v>Kurdish</v>
          </cell>
          <cell r="K54">
            <v>7504276752</v>
          </cell>
          <cell r="L54">
            <v>7504573097</v>
          </cell>
          <cell r="T54" t="str">
            <v>Pending</v>
          </cell>
          <cell r="V54" t="str">
            <v>Spring</v>
          </cell>
          <cell r="W54">
            <v>2015</v>
          </cell>
          <cell r="AK54">
            <v>0</v>
          </cell>
          <cell r="AM54">
            <v>0</v>
          </cell>
          <cell r="AW54">
            <v>1</v>
          </cell>
        </row>
        <row r="55">
          <cell r="D55" t="str">
            <v>N/A</v>
          </cell>
          <cell r="E55" t="str">
            <v>Bakir</v>
          </cell>
          <cell r="F55" t="str">
            <v>Faris</v>
          </cell>
          <cell r="G55" t="str">
            <v>ramadhan</v>
          </cell>
          <cell r="H55" t="str">
            <v>Male</v>
          </cell>
          <cell r="J55" t="str">
            <v>Kurdish</v>
          </cell>
          <cell r="K55">
            <v>7701743877</v>
          </cell>
          <cell r="L55">
            <v>7701891926</v>
          </cell>
          <cell r="T55" t="str">
            <v>Pending</v>
          </cell>
          <cell r="V55" t="str">
            <v>Spring</v>
          </cell>
          <cell r="W55">
            <v>2015</v>
          </cell>
          <cell r="AH55">
            <v>68</v>
          </cell>
          <cell r="AK55">
            <v>68</v>
          </cell>
          <cell r="AM55">
            <v>68</v>
          </cell>
          <cell r="AP55">
            <v>5</v>
          </cell>
          <cell r="BD55">
            <v>1</v>
          </cell>
        </row>
        <row r="56">
          <cell r="D56" t="str">
            <v>A21500109</v>
          </cell>
          <cell r="E56" t="str">
            <v>Sartach</v>
          </cell>
          <cell r="F56" t="str">
            <v>Abdullah</v>
          </cell>
          <cell r="G56" t="str">
            <v>Ahmed</v>
          </cell>
          <cell r="H56" t="str">
            <v>Male</v>
          </cell>
          <cell r="I56">
            <v>1995</v>
          </cell>
          <cell r="J56" t="str">
            <v>Turkish</v>
          </cell>
          <cell r="K56">
            <v>7502015623</v>
          </cell>
          <cell r="L56">
            <v>7505814175</v>
          </cell>
          <cell r="M56" t="str">
            <v>blacktou212121@gmail.com</v>
          </cell>
          <cell r="N56" t="str">
            <v>No</v>
          </cell>
          <cell r="O56" t="str">
            <v>No</v>
          </cell>
          <cell r="P56" t="str">
            <v>International</v>
          </cell>
          <cell r="Q56" t="str">
            <v>First Year</v>
          </cell>
          <cell r="R56" t="str">
            <v>Regular</v>
          </cell>
          <cell r="T56" t="str">
            <v>Accepted</v>
          </cell>
          <cell r="U56" t="str">
            <v>Freeze</v>
          </cell>
          <cell r="V56" t="str">
            <v>Spring</v>
          </cell>
          <cell r="W56">
            <v>2015</v>
          </cell>
          <cell r="X56" t="str">
            <v>Spring</v>
          </cell>
          <cell r="Y56">
            <v>2015</v>
          </cell>
          <cell r="Z56" t="str">
            <v>High School</v>
          </cell>
          <cell r="AA56">
            <v>2014</v>
          </cell>
          <cell r="AD56" t="str">
            <v>Science</v>
          </cell>
          <cell r="AF56" t="str">
            <v>Duhok</v>
          </cell>
          <cell r="AG56" t="str">
            <v>Sumel</v>
          </cell>
          <cell r="AH56">
            <v>64</v>
          </cell>
          <cell r="AK56">
            <v>64</v>
          </cell>
          <cell r="AM56">
            <v>64</v>
          </cell>
          <cell r="AP56">
            <v>4</v>
          </cell>
          <cell r="BG56">
            <v>1</v>
          </cell>
        </row>
        <row r="57">
          <cell r="D57" t="str">
            <v>N/A</v>
          </cell>
          <cell r="E57" t="str">
            <v>Ghofran</v>
          </cell>
          <cell r="F57" t="str">
            <v>Mustafa</v>
          </cell>
          <cell r="G57" t="str">
            <v>Hussien</v>
          </cell>
          <cell r="J57" t="str">
            <v>Kurdish</v>
          </cell>
          <cell r="K57">
            <v>7504176734</v>
          </cell>
          <cell r="L57">
            <v>7508195951</v>
          </cell>
          <cell r="R57" t="str">
            <v>Regular</v>
          </cell>
          <cell r="T57" t="str">
            <v>Pending</v>
          </cell>
          <cell r="V57" t="str">
            <v>Spring</v>
          </cell>
          <cell r="W57">
            <v>2015</v>
          </cell>
          <cell r="AH57">
            <v>75</v>
          </cell>
          <cell r="AK57">
            <v>75</v>
          </cell>
          <cell r="AM57">
            <v>75</v>
          </cell>
          <cell r="AP57">
            <v>6</v>
          </cell>
        </row>
        <row r="58">
          <cell r="D58" t="str">
            <v>N/A</v>
          </cell>
          <cell r="E58" t="str">
            <v>Amal</v>
          </cell>
          <cell r="F58" t="str">
            <v>Subhi</v>
          </cell>
          <cell r="G58" t="str">
            <v>Mohammad</v>
          </cell>
          <cell r="H58" t="str">
            <v>Female</v>
          </cell>
          <cell r="J58" t="str">
            <v>Kurdish</v>
          </cell>
          <cell r="K58">
            <v>7504498184</v>
          </cell>
          <cell r="L58">
            <v>7504795747</v>
          </cell>
          <cell r="R58" t="str">
            <v>Regular</v>
          </cell>
          <cell r="T58" t="str">
            <v>Pending</v>
          </cell>
          <cell r="V58" t="str">
            <v>Spring</v>
          </cell>
          <cell r="W58">
            <v>2015</v>
          </cell>
          <cell r="AH58">
            <v>72</v>
          </cell>
          <cell r="AK58">
            <v>72</v>
          </cell>
          <cell r="AM58">
            <v>72</v>
          </cell>
          <cell r="AP58">
            <v>3</v>
          </cell>
          <cell r="BG58">
            <v>1</v>
          </cell>
        </row>
        <row r="59">
          <cell r="D59" t="str">
            <v>00000056</v>
          </cell>
          <cell r="E59" t="str">
            <v>Maryam</v>
          </cell>
          <cell r="F59" t="str">
            <v>Subhi</v>
          </cell>
          <cell r="G59" t="str">
            <v>Mahmood</v>
          </cell>
          <cell r="H59" t="str">
            <v>Female</v>
          </cell>
          <cell r="I59">
            <v>1996</v>
          </cell>
          <cell r="J59" t="str">
            <v>Kurdish</v>
          </cell>
          <cell r="K59">
            <v>7501988016</v>
          </cell>
          <cell r="L59">
            <v>7504611978</v>
          </cell>
          <cell r="P59" t="str">
            <v>Local</v>
          </cell>
          <cell r="Q59" t="str">
            <v>First Year</v>
          </cell>
          <cell r="R59" t="str">
            <v>Regular</v>
          </cell>
          <cell r="T59" t="str">
            <v>Accepted</v>
          </cell>
          <cell r="U59" t="str">
            <v>Withdraw</v>
          </cell>
          <cell r="V59" t="str">
            <v>Spring</v>
          </cell>
          <cell r="W59">
            <v>2015</v>
          </cell>
          <cell r="AF59" t="str">
            <v>Hawler</v>
          </cell>
          <cell r="AG59" t="str">
            <v>Wazziran</v>
          </cell>
          <cell r="AH59">
            <v>82</v>
          </cell>
          <cell r="AK59">
            <v>82</v>
          </cell>
          <cell r="AM59">
            <v>82</v>
          </cell>
          <cell r="AP59">
            <v>4</v>
          </cell>
          <cell r="BJ59">
            <v>1</v>
          </cell>
        </row>
        <row r="60">
          <cell r="D60" t="str">
            <v>N/A</v>
          </cell>
          <cell r="E60" t="str">
            <v>Mateen</v>
          </cell>
          <cell r="F60" t="str">
            <v>Safar</v>
          </cell>
          <cell r="H60" t="str">
            <v>Male</v>
          </cell>
          <cell r="J60" t="str">
            <v>Kurdish</v>
          </cell>
          <cell r="K60">
            <v>7504680010</v>
          </cell>
          <cell r="L60">
            <v>7503680010</v>
          </cell>
          <cell r="R60" t="str">
            <v>Regular</v>
          </cell>
          <cell r="T60" t="str">
            <v>Pending</v>
          </cell>
          <cell r="U60" t="str">
            <v>Freeze</v>
          </cell>
          <cell r="V60" t="str">
            <v>Spring</v>
          </cell>
          <cell r="W60">
            <v>2015</v>
          </cell>
          <cell r="AF60" t="str">
            <v>Duhok</v>
          </cell>
          <cell r="AG60" t="str">
            <v>K.R.O</v>
          </cell>
          <cell r="AH60">
            <v>70</v>
          </cell>
          <cell r="AK60">
            <v>70</v>
          </cell>
          <cell r="AM60">
            <v>70</v>
          </cell>
          <cell r="AP60">
            <v>6</v>
          </cell>
          <cell r="BB60">
            <v>1</v>
          </cell>
        </row>
        <row r="61">
          <cell r="D61" t="str">
            <v>A21500071</v>
          </cell>
          <cell r="E61" t="str">
            <v>Barzan</v>
          </cell>
          <cell r="F61" t="str">
            <v>Sarkawt</v>
          </cell>
          <cell r="G61" t="str">
            <v>Muhammd Salih</v>
          </cell>
          <cell r="H61" t="str">
            <v>Male</v>
          </cell>
          <cell r="I61">
            <v>1991</v>
          </cell>
          <cell r="J61" t="str">
            <v>Kurdish</v>
          </cell>
          <cell r="K61">
            <v>7705061166</v>
          </cell>
          <cell r="L61">
            <v>7701576364</v>
          </cell>
          <cell r="M61" t="str">
            <v>barzanss@hotmail.com</v>
          </cell>
          <cell r="N61" t="str">
            <v>Yes</v>
          </cell>
          <cell r="O61" t="str">
            <v>Yes</v>
          </cell>
          <cell r="P61" t="str">
            <v>Local</v>
          </cell>
          <cell r="Q61" t="str">
            <v>Transfer</v>
          </cell>
          <cell r="R61" t="str">
            <v>Regular</v>
          </cell>
          <cell r="T61" t="str">
            <v>Accepted</v>
          </cell>
          <cell r="U61">
            <v>0</v>
          </cell>
          <cell r="V61" t="str">
            <v>Spring</v>
          </cell>
          <cell r="W61">
            <v>2015</v>
          </cell>
          <cell r="X61" t="str">
            <v>Spring</v>
          </cell>
          <cell r="Y61">
            <v>2015</v>
          </cell>
          <cell r="Z61" t="str">
            <v>High School</v>
          </cell>
          <cell r="AA61">
            <v>2011</v>
          </cell>
          <cell r="AB61">
            <v>2</v>
          </cell>
          <cell r="AC61">
            <v>2</v>
          </cell>
          <cell r="AD61" t="str">
            <v>Science</v>
          </cell>
          <cell r="AE61" t="str">
            <v>Halkawt</v>
          </cell>
          <cell r="AF61" t="str">
            <v>Sulaimani</v>
          </cell>
          <cell r="AG61" t="str">
            <v>Sar chinar</v>
          </cell>
          <cell r="AH61">
            <v>70</v>
          </cell>
          <cell r="AK61">
            <v>70</v>
          </cell>
          <cell r="AM61">
            <v>70</v>
          </cell>
          <cell r="AP61">
            <v>6</v>
          </cell>
          <cell r="BB61">
            <v>2</v>
          </cell>
          <cell r="BG61">
            <v>1</v>
          </cell>
        </row>
        <row r="62">
          <cell r="D62" t="str">
            <v>A21500107</v>
          </cell>
          <cell r="E62" t="str">
            <v>Kalwan</v>
          </cell>
          <cell r="F62" t="str">
            <v>Ogaid</v>
          </cell>
          <cell r="G62" t="str">
            <v>Haji</v>
          </cell>
          <cell r="H62" t="str">
            <v>Male</v>
          </cell>
          <cell r="J62" t="str">
            <v>Kurdish</v>
          </cell>
          <cell r="K62">
            <v>7504907219</v>
          </cell>
          <cell r="L62">
            <v>7502159008</v>
          </cell>
          <cell r="M62" t="str">
            <v>Duhok.market@gmail.com</v>
          </cell>
          <cell r="N62" t="str">
            <v>No</v>
          </cell>
          <cell r="O62" t="str">
            <v>No</v>
          </cell>
          <cell r="P62" t="str">
            <v>Local</v>
          </cell>
          <cell r="Q62" t="str">
            <v>First Year</v>
          </cell>
          <cell r="R62" t="str">
            <v>Regular</v>
          </cell>
          <cell r="T62" t="str">
            <v>Accepted</v>
          </cell>
          <cell r="U62" t="str">
            <v>Freeze</v>
          </cell>
          <cell r="V62" t="str">
            <v>Spring</v>
          </cell>
          <cell r="W62">
            <v>2015</v>
          </cell>
          <cell r="X62" t="str">
            <v>Spring</v>
          </cell>
          <cell r="Y62">
            <v>2015</v>
          </cell>
          <cell r="Z62" t="str">
            <v>High School</v>
          </cell>
          <cell r="AA62">
            <v>2014</v>
          </cell>
          <cell r="AE62" t="str">
            <v>Home School</v>
          </cell>
          <cell r="AF62" t="str">
            <v>Duhok</v>
          </cell>
          <cell r="AG62" t="str">
            <v>Hay Alaskaree</v>
          </cell>
          <cell r="AH62">
            <v>60</v>
          </cell>
          <cell r="AK62">
            <v>60</v>
          </cell>
          <cell r="AM62">
            <v>60</v>
          </cell>
          <cell r="AP62">
            <v>5</v>
          </cell>
          <cell r="BJ62">
            <v>1</v>
          </cell>
        </row>
        <row r="63">
          <cell r="D63" t="str">
            <v>A21500035</v>
          </cell>
          <cell r="E63" t="str">
            <v>Yaldiz</v>
          </cell>
          <cell r="F63" t="str">
            <v>Abid</v>
          </cell>
          <cell r="G63" t="str">
            <v>Sulaiman</v>
          </cell>
          <cell r="H63" t="str">
            <v>Female</v>
          </cell>
          <cell r="I63">
            <v>1994</v>
          </cell>
          <cell r="J63" t="str">
            <v>Kurdish</v>
          </cell>
          <cell r="K63">
            <v>7507391376</v>
          </cell>
          <cell r="L63">
            <v>7504567223</v>
          </cell>
          <cell r="N63" t="str">
            <v>No</v>
          </cell>
          <cell r="O63" t="str">
            <v>No</v>
          </cell>
          <cell r="P63" t="str">
            <v>Local</v>
          </cell>
          <cell r="Q63" t="str">
            <v>First Year</v>
          </cell>
          <cell r="R63" t="str">
            <v>Martyr's Aid</v>
          </cell>
          <cell r="T63" t="str">
            <v>Accepted</v>
          </cell>
          <cell r="U63">
            <v>0</v>
          </cell>
          <cell r="V63" t="str">
            <v>Spring</v>
          </cell>
          <cell r="W63">
            <v>2015</v>
          </cell>
          <cell r="X63" t="str">
            <v>Spring</v>
          </cell>
          <cell r="Y63">
            <v>2015</v>
          </cell>
          <cell r="Z63" t="str">
            <v>High School</v>
          </cell>
          <cell r="AA63">
            <v>2014</v>
          </cell>
          <cell r="AB63">
            <v>3</v>
          </cell>
          <cell r="AC63">
            <v>1</v>
          </cell>
          <cell r="AD63" t="str">
            <v>Science</v>
          </cell>
          <cell r="AE63" t="str">
            <v>Awaz</v>
          </cell>
          <cell r="AF63" t="str">
            <v>Duhok</v>
          </cell>
          <cell r="AG63" t="str">
            <v>Shakhke</v>
          </cell>
          <cell r="AH63">
            <v>79</v>
          </cell>
          <cell r="AK63">
            <v>79</v>
          </cell>
          <cell r="AM63">
            <v>79</v>
          </cell>
          <cell r="AP63">
            <v>6</v>
          </cell>
          <cell r="AW63">
            <v>1</v>
          </cell>
        </row>
        <row r="64">
          <cell r="D64" t="str">
            <v>A21500080</v>
          </cell>
          <cell r="E64" t="str">
            <v>Zana</v>
          </cell>
          <cell r="F64" t="str">
            <v>Abdulhamid</v>
          </cell>
          <cell r="G64" t="str">
            <v>Dewaly</v>
          </cell>
          <cell r="H64" t="str">
            <v>Male</v>
          </cell>
          <cell r="I64">
            <v>1996</v>
          </cell>
          <cell r="J64" t="str">
            <v>Kurdish</v>
          </cell>
          <cell r="K64">
            <v>7504260604</v>
          </cell>
          <cell r="L64">
            <v>7504458984</v>
          </cell>
          <cell r="M64" t="str">
            <v>zana-dosky96@yahoo.com</v>
          </cell>
          <cell r="N64" t="str">
            <v>No</v>
          </cell>
          <cell r="O64" t="str">
            <v>No</v>
          </cell>
          <cell r="P64" t="str">
            <v>Local</v>
          </cell>
          <cell r="Q64" t="str">
            <v>First Year</v>
          </cell>
          <cell r="R64" t="str">
            <v>Regular</v>
          </cell>
          <cell r="T64" t="str">
            <v>Accepted</v>
          </cell>
          <cell r="U64">
            <v>0</v>
          </cell>
          <cell r="V64" t="str">
            <v>Spring</v>
          </cell>
          <cell r="W64">
            <v>2015</v>
          </cell>
          <cell r="X64" t="str">
            <v>Spring</v>
          </cell>
          <cell r="Y64">
            <v>2015</v>
          </cell>
          <cell r="Z64" t="str">
            <v>High School</v>
          </cell>
          <cell r="AA64">
            <v>2014</v>
          </cell>
          <cell r="AB64">
            <v>1</v>
          </cell>
          <cell r="AC64">
            <v>1</v>
          </cell>
          <cell r="AD64" t="str">
            <v>Science</v>
          </cell>
          <cell r="AE64" t="str">
            <v>Ishik</v>
          </cell>
          <cell r="AF64" t="str">
            <v>Duhok</v>
          </cell>
          <cell r="AG64" t="str">
            <v>K.R.O</v>
          </cell>
          <cell r="AH64">
            <v>76</v>
          </cell>
          <cell r="AK64">
            <v>76</v>
          </cell>
          <cell r="AM64">
            <v>76</v>
          </cell>
          <cell r="AN64" t="str">
            <v>74</v>
          </cell>
          <cell r="AP64">
            <v>6</v>
          </cell>
          <cell r="BG64">
            <v>1</v>
          </cell>
        </row>
        <row r="65">
          <cell r="D65" t="str">
            <v>N/A</v>
          </cell>
          <cell r="E65" t="str">
            <v>Saman</v>
          </cell>
          <cell r="F65" t="str">
            <v>Omar</v>
          </cell>
          <cell r="G65" t="str">
            <v>Ahmed</v>
          </cell>
          <cell r="H65" t="str">
            <v>Male</v>
          </cell>
          <cell r="I65">
            <v>1986</v>
          </cell>
          <cell r="J65" t="str">
            <v>Kurdish</v>
          </cell>
          <cell r="K65">
            <v>7504590138</v>
          </cell>
          <cell r="L65">
            <v>614590138</v>
          </cell>
          <cell r="P65" t="str">
            <v>Local</v>
          </cell>
          <cell r="R65" t="str">
            <v>Regular</v>
          </cell>
          <cell r="T65" t="str">
            <v>Pending</v>
          </cell>
          <cell r="V65" t="str">
            <v>Spring</v>
          </cell>
          <cell r="W65">
            <v>2015</v>
          </cell>
          <cell r="AH65">
            <v>75.5</v>
          </cell>
          <cell r="AK65">
            <v>75.5</v>
          </cell>
          <cell r="AM65">
            <v>75.5</v>
          </cell>
          <cell r="AP65">
            <v>4</v>
          </cell>
          <cell r="BI65">
            <v>1</v>
          </cell>
        </row>
        <row r="66">
          <cell r="D66" t="str">
            <v>N/A</v>
          </cell>
          <cell r="E66" t="str">
            <v>Ahmed</v>
          </cell>
          <cell r="F66" t="str">
            <v>Mousa</v>
          </cell>
          <cell r="G66" t="str">
            <v>Ahmed</v>
          </cell>
          <cell r="H66" t="str">
            <v>Male</v>
          </cell>
          <cell r="I66">
            <v>1976</v>
          </cell>
          <cell r="J66" t="str">
            <v>Kurdish</v>
          </cell>
          <cell r="K66">
            <v>7504571283</v>
          </cell>
          <cell r="L66">
            <v>7504782305</v>
          </cell>
          <cell r="P66" t="str">
            <v>International</v>
          </cell>
          <cell r="R66" t="str">
            <v>Regular</v>
          </cell>
          <cell r="T66" t="str">
            <v>Pending</v>
          </cell>
          <cell r="V66" t="str">
            <v>Spring</v>
          </cell>
          <cell r="W66">
            <v>2015</v>
          </cell>
          <cell r="AH66">
            <v>63.4</v>
          </cell>
          <cell r="AK66">
            <v>63.4</v>
          </cell>
          <cell r="AM66">
            <v>63.4</v>
          </cell>
          <cell r="AP66">
            <v>3</v>
          </cell>
          <cell r="AW66">
            <v>1</v>
          </cell>
        </row>
        <row r="67">
          <cell r="D67" t="str">
            <v>N/A</v>
          </cell>
          <cell r="E67" t="str">
            <v>Kamiran</v>
          </cell>
          <cell r="F67" t="str">
            <v>Mustafa</v>
          </cell>
          <cell r="G67" t="str">
            <v>Khaleel</v>
          </cell>
          <cell r="H67" t="str">
            <v>Male</v>
          </cell>
          <cell r="J67" t="str">
            <v>Kurdish</v>
          </cell>
          <cell r="K67">
            <v>7503567273</v>
          </cell>
          <cell r="L67">
            <v>7504986989</v>
          </cell>
          <cell r="P67" t="str">
            <v>Local</v>
          </cell>
          <cell r="Q67" t="str">
            <v>First Year</v>
          </cell>
          <cell r="R67" t="str">
            <v>Regular</v>
          </cell>
          <cell r="T67" t="str">
            <v>Pending</v>
          </cell>
          <cell r="V67" t="str">
            <v>Spring</v>
          </cell>
          <cell r="W67">
            <v>2015</v>
          </cell>
          <cell r="X67" t="str">
            <v>Spring</v>
          </cell>
          <cell r="Y67">
            <v>2015</v>
          </cell>
          <cell r="AH67">
            <v>59</v>
          </cell>
          <cell r="AK67">
            <v>59</v>
          </cell>
          <cell r="AM67">
            <v>59</v>
          </cell>
          <cell r="AP67">
            <v>3</v>
          </cell>
          <cell r="BB67">
            <v>1</v>
          </cell>
        </row>
        <row r="68">
          <cell r="D68" t="str">
            <v>N/A</v>
          </cell>
          <cell r="E68" t="str">
            <v>Aleen</v>
          </cell>
          <cell r="F68" t="str">
            <v>Qasim</v>
          </cell>
          <cell r="G68" t="str">
            <v>Abduljabbar</v>
          </cell>
          <cell r="J68" t="str">
            <v>Kurdish</v>
          </cell>
          <cell r="K68">
            <v>7507894212</v>
          </cell>
          <cell r="L68">
            <v>7504817137</v>
          </cell>
          <cell r="T68" t="str">
            <v>Pending</v>
          </cell>
          <cell r="V68" t="str">
            <v>Spring</v>
          </cell>
          <cell r="W68">
            <v>2015</v>
          </cell>
          <cell r="AK68">
            <v>0</v>
          </cell>
          <cell r="AM68">
            <v>0</v>
          </cell>
          <cell r="AP68">
            <v>5</v>
          </cell>
          <cell r="AW68">
            <v>1</v>
          </cell>
        </row>
        <row r="69">
          <cell r="D69" t="str">
            <v>A21500129</v>
          </cell>
          <cell r="E69" t="str">
            <v>Alend</v>
          </cell>
          <cell r="F69" t="str">
            <v>Azeez</v>
          </cell>
          <cell r="G69" t="str">
            <v>Mahmood</v>
          </cell>
          <cell r="H69" t="str">
            <v>Male</v>
          </cell>
          <cell r="I69">
            <v>1993</v>
          </cell>
          <cell r="J69" t="str">
            <v>Kurdish</v>
          </cell>
          <cell r="K69">
            <v>7507010653</v>
          </cell>
          <cell r="L69">
            <v>7504318177</v>
          </cell>
          <cell r="M69" t="str">
            <v>alendalmzori@ymail.com</v>
          </cell>
          <cell r="N69" t="str">
            <v>No</v>
          </cell>
          <cell r="O69" t="str">
            <v>No</v>
          </cell>
          <cell r="P69" t="str">
            <v>Local</v>
          </cell>
          <cell r="Q69" t="str">
            <v>First Year</v>
          </cell>
          <cell r="R69" t="str">
            <v>Regular</v>
          </cell>
          <cell r="T69" t="str">
            <v>Accepted</v>
          </cell>
          <cell r="U69">
            <v>0</v>
          </cell>
          <cell r="V69" t="str">
            <v>Spring</v>
          </cell>
          <cell r="W69">
            <v>2015</v>
          </cell>
          <cell r="X69" t="str">
            <v>Spring</v>
          </cell>
          <cell r="Y69">
            <v>2015</v>
          </cell>
          <cell r="Z69" t="str">
            <v>High School</v>
          </cell>
          <cell r="AA69">
            <v>2014</v>
          </cell>
          <cell r="AB69">
            <v>1</v>
          </cell>
          <cell r="AC69">
            <v>2</v>
          </cell>
          <cell r="AD69" t="str">
            <v>Arts</v>
          </cell>
          <cell r="AE69" t="str">
            <v>Home School</v>
          </cell>
          <cell r="AF69" t="str">
            <v>Duhok</v>
          </cell>
          <cell r="AG69" t="str">
            <v>Masike</v>
          </cell>
          <cell r="AH69">
            <v>60.5</v>
          </cell>
          <cell r="AK69">
            <v>60.5</v>
          </cell>
          <cell r="AM69">
            <v>60.5</v>
          </cell>
          <cell r="AP69">
            <v>6</v>
          </cell>
          <cell r="BG69">
            <v>1</v>
          </cell>
        </row>
        <row r="70">
          <cell r="D70" t="str">
            <v>A21500064</v>
          </cell>
          <cell r="E70" t="str">
            <v>Roj</v>
          </cell>
          <cell r="F70" t="str">
            <v>Salah</v>
          </cell>
          <cell r="G70" t="str">
            <v>Hasan</v>
          </cell>
          <cell r="H70" t="str">
            <v>Male</v>
          </cell>
          <cell r="I70">
            <v>1995</v>
          </cell>
          <cell r="J70" t="str">
            <v>Kurdish</v>
          </cell>
          <cell r="K70">
            <v>7504461105</v>
          </cell>
          <cell r="L70">
            <v>7504991222</v>
          </cell>
          <cell r="N70" t="str">
            <v>No</v>
          </cell>
          <cell r="O70" t="str">
            <v>No</v>
          </cell>
          <cell r="P70" t="str">
            <v>Local</v>
          </cell>
          <cell r="Q70" t="str">
            <v>First Year</v>
          </cell>
          <cell r="R70" t="str">
            <v>Regular</v>
          </cell>
          <cell r="T70" t="str">
            <v>Accepted</v>
          </cell>
          <cell r="U70">
            <v>0</v>
          </cell>
          <cell r="V70" t="str">
            <v>Spring</v>
          </cell>
          <cell r="W70">
            <v>2015</v>
          </cell>
          <cell r="X70" t="str">
            <v>Spring</v>
          </cell>
          <cell r="Y70">
            <v>2015</v>
          </cell>
          <cell r="Z70" t="str">
            <v>High School</v>
          </cell>
          <cell r="AA70">
            <v>2014</v>
          </cell>
          <cell r="AB70">
            <v>2</v>
          </cell>
          <cell r="AC70">
            <v>2</v>
          </cell>
          <cell r="AD70" t="str">
            <v>Science</v>
          </cell>
          <cell r="AE70" t="str">
            <v>Bizhara</v>
          </cell>
          <cell r="AF70" t="str">
            <v>Duhok</v>
          </cell>
          <cell r="AG70" t="str">
            <v>Sumel</v>
          </cell>
          <cell r="AH70">
            <v>67.7</v>
          </cell>
          <cell r="AK70">
            <v>67.7</v>
          </cell>
          <cell r="AM70">
            <v>67.7</v>
          </cell>
          <cell r="AP70">
            <v>5</v>
          </cell>
          <cell r="BI70">
            <v>1</v>
          </cell>
        </row>
        <row r="71">
          <cell r="D71" t="str">
            <v>N/A</v>
          </cell>
          <cell r="E71" t="str">
            <v>Mohammed</v>
          </cell>
          <cell r="F71" t="str">
            <v>Kamal</v>
          </cell>
          <cell r="G71" t="str">
            <v>Ibrahim</v>
          </cell>
          <cell r="H71" t="str">
            <v>Male</v>
          </cell>
          <cell r="J71" t="str">
            <v>Kurdish</v>
          </cell>
          <cell r="K71">
            <v>7504249269</v>
          </cell>
          <cell r="L71">
            <v>7504508084</v>
          </cell>
          <cell r="T71" t="str">
            <v>Pending</v>
          </cell>
          <cell r="V71" t="str">
            <v>Spring</v>
          </cell>
          <cell r="W71">
            <v>2015</v>
          </cell>
          <cell r="AH71">
            <v>61</v>
          </cell>
          <cell r="AK71">
            <v>61</v>
          </cell>
          <cell r="AM71">
            <v>61</v>
          </cell>
          <cell r="BG71">
            <v>1</v>
          </cell>
        </row>
        <row r="72">
          <cell r="D72" t="str">
            <v>A21500036</v>
          </cell>
          <cell r="E72" t="str">
            <v>Sarhang</v>
          </cell>
          <cell r="F72" t="str">
            <v>Abdulhaleem</v>
          </cell>
          <cell r="G72" t="str">
            <v>Hasan</v>
          </cell>
          <cell r="H72" t="str">
            <v>Male</v>
          </cell>
          <cell r="I72">
            <v>1993</v>
          </cell>
          <cell r="J72" t="str">
            <v>Kurdish</v>
          </cell>
          <cell r="K72">
            <v>7504590111</v>
          </cell>
          <cell r="L72">
            <v>7504579112</v>
          </cell>
          <cell r="M72" t="str">
            <v>sarhang.a.h@hotmail.com</v>
          </cell>
          <cell r="N72" t="str">
            <v>No</v>
          </cell>
          <cell r="O72" t="str">
            <v>No</v>
          </cell>
          <cell r="P72" t="str">
            <v>Local</v>
          </cell>
          <cell r="Q72" t="str">
            <v>First Year</v>
          </cell>
          <cell r="R72" t="str">
            <v>Regular</v>
          </cell>
          <cell r="T72" t="str">
            <v>Accepted</v>
          </cell>
          <cell r="U72">
            <v>0</v>
          </cell>
          <cell r="V72" t="str">
            <v>Spring</v>
          </cell>
          <cell r="W72">
            <v>2015</v>
          </cell>
          <cell r="X72" t="str">
            <v>Spring</v>
          </cell>
          <cell r="Y72">
            <v>2015</v>
          </cell>
          <cell r="Z72" t="str">
            <v>High School</v>
          </cell>
          <cell r="AA72">
            <v>2014</v>
          </cell>
          <cell r="AB72">
            <v>1</v>
          </cell>
          <cell r="AC72">
            <v>2</v>
          </cell>
          <cell r="AD72" t="str">
            <v>Arts</v>
          </cell>
          <cell r="AE72" t="str">
            <v>Dastor</v>
          </cell>
          <cell r="AF72" t="str">
            <v>Duhok</v>
          </cell>
          <cell r="AH72">
            <v>60</v>
          </cell>
          <cell r="AK72">
            <v>60</v>
          </cell>
          <cell r="AM72">
            <v>60</v>
          </cell>
          <cell r="AP72">
            <v>5</v>
          </cell>
          <cell r="BG72">
            <v>1</v>
          </cell>
        </row>
        <row r="73">
          <cell r="D73" t="str">
            <v>A21500125</v>
          </cell>
          <cell r="E73" t="str">
            <v>Aram</v>
          </cell>
          <cell r="F73" t="str">
            <v>Ramadhan</v>
          </cell>
          <cell r="G73" t="str">
            <v>Afdal</v>
          </cell>
          <cell r="H73" t="str">
            <v>Male</v>
          </cell>
          <cell r="I73">
            <v>1995</v>
          </cell>
          <cell r="J73" t="str">
            <v>Kurdish</v>
          </cell>
          <cell r="K73">
            <v>7503619101</v>
          </cell>
          <cell r="L73">
            <v>7504552637</v>
          </cell>
          <cell r="N73" t="str">
            <v>No</v>
          </cell>
          <cell r="O73" t="str">
            <v>No</v>
          </cell>
          <cell r="P73" t="str">
            <v>Local</v>
          </cell>
          <cell r="Q73" t="str">
            <v>First Year</v>
          </cell>
          <cell r="R73" t="str">
            <v>Regular</v>
          </cell>
          <cell r="T73" t="str">
            <v>Accepted</v>
          </cell>
          <cell r="U73">
            <v>0</v>
          </cell>
          <cell r="V73" t="str">
            <v>Spring</v>
          </cell>
          <cell r="W73">
            <v>2015</v>
          </cell>
          <cell r="X73" t="str">
            <v>Spring</v>
          </cell>
          <cell r="Y73">
            <v>2015</v>
          </cell>
          <cell r="Z73" t="str">
            <v>High School</v>
          </cell>
          <cell r="AA73">
            <v>2014</v>
          </cell>
          <cell r="AE73" t="str">
            <v>Kawa</v>
          </cell>
          <cell r="AF73" t="str">
            <v>Duhok</v>
          </cell>
          <cell r="AG73" t="str">
            <v>Shakhke</v>
          </cell>
          <cell r="AH73">
            <v>72</v>
          </cell>
          <cell r="AK73">
            <v>72</v>
          </cell>
          <cell r="AM73">
            <v>72</v>
          </cell>
          <cell r="AP73">
            <v>4</v>
          </cell>
          <cell r="AQ73">
            <v>3</v>
          </cell>
          <cell r="AS73">
            <v>1</v>
          </cell>
          <cell r="AW73">
            <v>2</v>
          </cell>
        </row>
        <row r="74">
          <cell r="D74" t="str">
            <v>A21500108</v>
          </cell>
          <cell r="E74" t="str">
            <v>Mand</v>
          </cell>
          <cell r="F74" t="str">
            <v>Kawa</v>
          </cell>
          <cell r="G74" t="str">
            <v>Sami</v>
          </cell>
          <cell r="H74" t="str">
            <v>Male</v>
          </cell>
          <cell r="I74">
            <v>1993</v>
          </cell>
          <cell r="J74" t="str">
            <v>Kurdish</v>
          </cell>
          <cell r="K74">
            <v>7504649343</v>
          </cell>
          <cell r="L74">
            <v>7503649343</v>
          </cell>
          <cell r="M74" t="str">
            <v>akreyi.mand@yahoo.com</v>
          </cell>
          <cell r="N74" t="str">
            <v>No</v>
          </cell>
          <cell r="O74" t="str">
            <v>No</v>
          </cell>
          <cell r="P74" t="str">
            <v>Local</v>
          </cell>
          <cell r="Q74" t="str">
            <v>First Year</v>
          </cell>
          <cell r="R74" t="str">
            <v>Regular</v>
          </cell>
          <cell r="T74" t="str">
            <v>Accepted</v>
          </cell>
          <cell r="U74">
            <v>0</v>
          </cell>
          <cell r="V74" t="str">
            <v>Spring</v>
          </cell>
          <cell r="W74">
            <v>2015</v>
          </cell>
          <cell r="X74" t="str">
            <v>Spring</v>
          </cell>
          <cell r="Y74">
            <v>2015</v>
          </cell>
          <cell r="Z74" t="str">
            <v>High School</v>
          </cell>
          <cell r="AA74">
            <v>2014</v>
          </cell>
          <cell r="AB74">
            <v>3</v>
          </cell>
          <cell r="AC74">
            <v>2</v>
          </cell>
          <cell r="AD74" t="str">
            <v>Sciences</v>
          </cell>
          <cell r="AE74" t="str">
            <v>Dastor</v>
          </cell>
          <cell r="AF74" t="str">
            <v>Duhok</v>
          </cell>
          <cell r="AG74" t="str">
            <v>Grebase</v>
          </cell>
          <cell r="AH74">
            <v>55.5</v>
          </cell>
          <cell r="AK74">
            <v>55.5</v>
          </cell>
          <cell r="AM74">
            <v>55.5</v>
          </cell>
          <cell r="AP74">
            <v>5</v>
          </cell>
          <cell r="BB74">
            <v>2</v>
          </cell>
          <cell r="BF74">
            <v>1</v>
          </cell>
          <cell r="BG74">
            <v>3</v>
          </cell>
        </row>
        <row r="75">
          <cell r="D75" t="str">
            <v>N/A</v>
          </cell>
          <cell r="E75" t="str">
            <v>Khorsheed</v>
          </cell>
          <cell r="F75" t="str">
            <v>Sarbast</v>
          </cell>
          <cell r="G75" t="str">
            <v>Natheer</v>
          </cell>
          <cell r="H75" t="str">
            <v>Male</v>
          </cell>
          <cell r="J75" t="str">
            <v>Kurdish</v>
          </cell>
          <cell r="K75">
            <v>7503888882</v>
          </cell>
          <cell r="L75">
            <v>7507444499</v>
          </cell>
          <cell r="T75" t="str">
            <v>Pending</v>
          </cell>
          <cell r="V75" t="str">
            <v>Spring</v>
          </cell>
          <cell r="W75">
            <v>2015</v>
          </cell>
          <cell r="AF75" t="str">
            <v>Duhok</v>
          </cell>
          <cell r="AG75" t="str">
            <v>Sumel</v>
          </cell>
          <cell r="AH75">
            <v>72</v>
          </cell>
          <cell r="AK75">
            <v>72</v>
          </cell>
          <cell r="AM75">
            <v>72</v>
          </cell>
        </row>
        <row r="76">
          <cell r="D76" t="str">
            <v>N/A</v>
          </cell>
          <cell r="E76" t="str">
            <v>Hassan</v>
          </cell>
          <cell r="F76" t="str">
            <v>Bashar</v>
          </cell>
          <cell r="G76" t="str">
            <v>Msher</v>
          </cell>
          <cell r="H76" t="str">
            <v>Male</v>
          </cell>
          <cell r="J76" t="str">
            <v>Kurdish</v>
          </cell>
          <cell r="K76">
            <v>7504515551</v>
          </cell>
          <cell r="L76">
            <v>7507240006</v>
          </cell>
          <cell r="T76" t="str">
            <v>Pending</v>
          </cell>
          <cell r="V76" t="str">
            <v>Spring</v>
          </cell>
          <cell r="W76">
            <v>2015</v>
          </cell>
          <cell r="AH76">
            <v>63.67</v>
          </cell>
          <cell r="AK76">
            <v>63.67</v>
          </cell>
          <cell r="AM76">
            <v>63.67</v>
          </cell>
          <cell r="BJ76">
            <v>1</v>
          </cell>
        </row>
        <row r="77">
          <cell r="D77" t="str">
            <v>A21500010</v>
          </cell>
          <cell r="E77" t="str">
            <v>Halgir</v>
          </cell>
          <cell r="F77" t="str">
            <v>Zirak</v>
          </cell>
          <cell r="G77" t="str">
            <v>Taher</v>
          </cell>
          <cell r="H77" t="str">
            <v>Male</v>
          </cell>
          <cell r="I77">
            <v>1992</v>
          </cell>
          <cell r="J77" t="str">
            <v>Kurdish</v>
          </cell>
          <cell r="K77">
            <v>7504107777</v>
          </cell>
          <cell r="L77">
            <v>7504575959</v>
          </cell>
          <cell r="N77" t="str">
            <v>No</v>
          </cell>
          <cell r="O77" t="str">
            <v>No</v>
          </cell>
          <cell r="P77" t="str">
            <v>Local</v>
          </cell>
          <cell r="Q77" t="str">
            <v>First Year</v>
          </cell>
          <cell r="R77" t="str">
            <v>Regular</v>
          </cell>
          <cell r="T77" t="str">
            <v>Accepted</v>
          </cell>
          <cell r="U77">
            <v>0</v>
          </cell>
          <cell r="V77" t="str">
            <v>Spring</v>
          </cell>
          <cell r="W77">
            <v>2015</v>
          </cell>
          <cell r="X77" t="str">
            <v>Spring</v>
          </cell>
          <cell r="Y77">
            <v>2015</v>
          </cell>
          <cell r="Z77" t="str">
            <v>High School</v>
          </cell>
          <cell r="AA77">
            <v>2013</v>
          </cell>
          <cell r="AC77">
            <v>2</v>
          </cell>
          <cell r="AD77" t="str">
            <v>Arts</v>
          </cell>
          <cell r="AE77" t="str">
            <v>Simarx</v>
          </cell>
          <cell r="AF77" t="str">
            <v>Duhok</v>
          </cell>
          <cell r="AG77" t="str">
            <v>Grebase</v>
          </cell>
          <cell r="AH77">
            <v>57</v>
          </cell>
          <cell r="AK77">
            <v>57</v>
          </cell>
          <cell r="AM77">
            <v>57</v>
          </cell>
          <cell r="AP77">
            <v>3</v>
          </cell>
          <cell r="BB77">
            <v>1</v>
          </cell>
        </row>
        <row r="78">
          <cell r="D78" t="str">
            <v>A21500004</v>
          </cell>
          <cell r="E78" t="str">
            <v>Abdullah</v>
          </cell>
          <cell r="F78" t="str">
            <v>Bilend</v>
          </cell>
          <cell r="G78" t="str">
            <v>Ahmad</v>
          </cell>
          <cell r="H78" t="str">
            <v>Male</v>
          </cell>
          <cell r="I78">
            <v>1996</v>
          </cell>
          <cell r="J78" t="str">
            <v>Kurdish</v>
          </cell>
          <cell r="K78">
            <v>7501344567</v>
          </cell>
          <cell r="L78">
            <v>7507676262</v>
          </cell>
          <cell r="N78" t="str">
            <v>No</v>
          </cell>
          <cell r="O78" t="str">
            <v>No</v>
          </cell>
          <cell r="P78" t="str">
            <v>Local</v>
          </cell>
          <cell r="Q78" t="str">
            <v>First Year</v>
          </cell>
          <cell r="R78" t="str">
            <v>Regular</v>
          </cell>
          <cell r="T78" t="str">
            <v>Accepted</v>
          </cell>
          <cell r="U78">
            <v>0</v>
          </cell>
          <cell r="V78" t="str">
            <v>Spring</v>
          </cell>
          <cell r="W78">
            <v>2015</v>
          </cell>
          <cell r="X78" t="str">
            <v>Spring</v>
          </cell>
          <cell r="Y78">
            <v>2015</v>
          </cell>
          <cell r="Z78" t="str">
            <v>High School</v>
          </cell>
          <cell r="AA78">
            <v>2014</v>
          </cell>
          <cell r="AB78">
            <v>1</v>
          </cell>
          <cell r="AC78">
            <v>2</v>
          </cell>
          <cell r="AD78" t="str">
            <v>Science</v>
          </cell>
          <cell r="AE78" t="str">
            <v>Dowa Kurd</v>
          </cell>
          <cell r="AF78" t="str">
            <v>Duhok</v>
          </cell>
          <cell r="AG78" t="str">
            <v>K.R.O</v>
          </cell>
          <cell r="AH78">
            <v>58.8</v>
          </cell>
          <cell r="AK78">
            <v>58.8</v>
          </cell>
          <cell r="AM78">
            <v>58.8</v>
          </cell>
          <cell r="AP78">
            <v>4</v>
          </cell>
          <cell r="BB78">
            <v>1</v>
          </cell>
        </row>
        <row r="79">
          <cell r="D79" t="str">
            <v>A21500019</v>
          </cell>
          <cell r="E79" t="str">
            <v xml:space="preserve">Abdulrahman </v>
          </cell>
          <cell r="F79" t="str">
            <v>Ahmed</v>
          </cell>
          <cell r="G79" t="str">
            <v>Hassan</v>
          </cell>
          <cell r="H79" t="str">
            <v>Male</v>
          </cell>
          <cell r="I79">
            <v>1992</v>
          </cell>
          <cell r="J79" t="str">
            <v>Kurdish</v>
          </cell>
          <cell r="K79">
            <v>7504905865</v>
          </cell>
          <cell r="L79">
            <v>7507334646</v>
          </cell>
          <cell r="M79" t="str">
            <v>abdulrahman.mirang@gmail.com</v>
          </cell>
          <cell r="N79" t="str">
            <v>No</v>
          </cell>
          <cell r="O79" t="str">
            <v>No</v>
          </cell>
          <cell r="P79" t="str">
            <v>Local</v>
          </cell>
          <cell r="Q79" t="str">
            <v>Transfer</v>
          </cell>
          <cell r="R79" t="str">
            <v>Regular</v>
          </cell>
          <cell r="T79" t="str">
            <v>Accepted</v>
          </cell>
          <cell r="U79">
            <v>0</v>
          </cell>
          <cell r="V79" t="str">
            <v>Spring</v>
          </cell>
          <cell r="W79">
            <v>2015</v>
          </cell>
          <cell r="X79" t="str">
            <v>Spring</v>
          </cell>
          <cell r="Y79">
            <v>2015</v>
          </cell>
          <cell r="Z79" t="str">
            <v>High School</v>
          </cell>
          <cell r="AA79">
            <v>2011</v>
          </cell>
          <cell r="AB79">
            <v>2</v>
          </cell>
          <cell r="AC79">
            <v>2</v>
          </cell>
          <cell r="AD79" t="str">
            <v>Science</v>
          </cell>
          <cell r="AE79" t="str">
            <v>Altaakhe</v>
          </cell>
          <cell r="AF79" t="str">
            <v>Duhok</v>
          </cell>
          <cell r="AG79" t="str">
            <v>Rizari</v>
          </cell>
          <cell r="AH79">
            <v>78</v>
          </cell>
          <cell r="AK79">
            <v>78</v>
          </cell>
          <cell r="AM79">
            <v>78</v>
          </cell>
          <cell r="AO79">
            <v>5</v>
          </cell>
          <cell r="BB79">
            <v>1</v>
          </cell>
        </row>
        <row r="80">
          <cell r="D80" t="str">
            <v>A21500124</v>
          </cell>
          <cell r="E80" t="str">
            <v>Mohammed</v>
          </cell>
          <cell r="F80" t="str">
            <v>Salah</v>
          </cell>
          <cell r="G80" t="str">
            <v>Zaidan</v>
          </cell>
          <cell r="H80" t="str">
            <v>Male</v>
          </cell>
          <cell r="I80">
            <v>1994</v>
          </cell>
          <cell r="J80" t="str">
            <v>Kurdish</v>
          </cell>
          <cell r="K80">
            <v>7501333338</v>
          </cell>
          <cell r="L80">
            <v>7507400228</v>
          </cell>
          <cell r="N80" t="str">
            <v>No</v>
          </cell>
          <cell r="O80" t="str">
            <v>No</v>
          </cell>
          <cell r="P80" t="str">
            <v>Local</v>
          </cell>
          <cell r="Q80" t="str">
            <v>First Year</v>
          </cell>
          <cell r="R80" t="str">
            <v>Regular</v>
          </cell>
          <cell r="T80" t="str">
            <v>Accepted</v>
          </cell>
          <cell r="U80">
            <v>0</v>
          </cell>
          <cell r="V80" t="str">
            <v>Spring</v>
          </cell>
          <cell r="W80">
            <v>2015</v>
          </cell>
          <cell r="X80" t="str">
            <v>Spring</v>
          </cell>
          <cell r="Y80">
            <v>2015</v>
          </cell>
          <cell r="Z80" t="str">
            <v>High School</v>
          </cell>
          <cell r="AA80">
            <v>2014</v>
          </cell>
          <cell r="AB80">
            <v>1</v>
          </cell>
          <cell r="AC80">
            <v>2</v>
          </cell>
          <cell r="AD80" t="str">
            <v>Arts</v>
          </cell>
          <cell r="AE80" t="str">
            <v>Altaakhe</v>
          </cell>
          <cell r="AF80" t="str">
            <v>Duhok</v>
          </cell>
          <cell r="AG80" t="str">
            <v>Malta</v>
          </cell>
          <cell r="AH80">
            <v>61</v>
          </cell>
          <cell r="AK80">
            <v>61</v>
          </cell>
          <cell r="AM80">
            <v>61</v>
          </cell>
          <cell r="AP80">
            <v>5</v>
          </cell>
          <cell r="BG80">
            <v>1</v>
          </cell>
          <cell r="BI80">
            <v>2</v>
          </cell>
        </row>
        <row r="81">
          <cell r="D81" t="str">
            <v>A21500047</v>
          </cell>
          <cell r="E81" t="str">
            <v>Milham</v>
          </cell>
          <cell r="F81" t="str">
            <v>Akram</v>
          </cell>
          <cell r="G81" t="str">
            <v>Milham</v>
          </cell>
          <cell r="H81" t="str">
            <v>Male</v>
          </cell>
          <cell r="I81">
            <v>1995</v>
          </cell>
          <cell r="J81" t="str">
            <v>Kurdish</v>
          </cell>
          <cell r="K81">
            <v>7504063324</v>
          </cell>
          <cell r="L81">
            <v>7504063324</v>
          </cell>
          <cell r="M81" t="str">
            <v>milham200@yahoo.com</v>
          </cell>
          <cell r="N81" t="str">
            <v>No</v>
          </cell>
          <cell r="O81" t="str">
            <v>No</v>
          </cell>
          <cell r="P81" t="str">
            <v>Local</v>
          </cell>
          <cell r="Q81" t="str">
            <v>First Year</v>
          </cell>
          <cell r="R81" t="str">
            <v>Regular</v>
          </cell>
          <cell r="T81" t="str">
            <v>Accepted</v>
          </cell>
          <cell r="U81">
            <v>0</v>
          </cell>
          <cell r="V81" t="str">
            <v>Spring</v>
          </cell>
          <cell r="W81">
            <v>2015</v>
          </cell>
          <cell r="X81" t="str">
            <v>Spring</v>
          </cell>
          <cell r="Y81">
            <v>2015</v>
          </cell>
          <cell r="Z81" t="str">
            <v>High School</v>
          </cell>
          <cell r="AA81">
            <v>2014</v>
          </cell>
          <cell r="AB81">
            <v>1</v>
          </cell>
          <cell r="AC81">
            <v>2</v>
          </cell>
          <cell r="AD81" t="str">
            <v>Arts</v>
          </cell>
          <cell r="AE81" t="str">
            <v>Home School</v>
          </cell>
          <cell r="AF81" t="str">
            <v>Duhok</v>
          </cell>
          <cell r="AG81" t="str">
            <v>K.R.O</v>
          </cell>
          <cell r="AH81">
            <v>60</v>
          </cell>
          <cell r="AK81">
            <v>60</v>
          </cell>
          <cell r="AM81">
            <v>60</v>
          </cell>
          <cell r="AP81">
            <v>3</v>
          </cell>
          <cell r="BB81">
            <v>1</v>
          </cell>
        </row>
        <row r="82">
          <cell r="D82" t="str">
            <v>A21500068</v>
          </cell>
          <cell r="E82" t="str">
            <v>Nawzad</v>
          </cell>
          <cell r="F82" t="str">
            <v>Zaki</v>
          </cell>
          <cell r="G82" t="str">
            <v>Mustafa</v>
          </cell>
          <cell r="H82" t="str">
            <v>Male</v>
          </cell>
          <cell r="I82">
            <v>1995</v>
          </cell>
          <cell r="J82" t="str">
            <v>Kurdish</v>
          </cell>
          <cell r="K82">
            <v>7507414163</v>
          </cell>
          <cell r="L82">
            <v>7504736280</v>
          </cell>
          <cell r="N82" t="str">
            <v>No</v>
          </cell>
          <cell r="O82" t="str">
            <v>No</v>
          </cell>
          <cell r="P82" t="str">
            <v>Local</v>
          </cell>
          <cell r="Q82" t="str">
            <v>First Year</v>
          </cell>
          <cell r="R82" t="str">
            <v>Regular</v>
          </cell>
          <cell r="T82" t="str">
            <v>Accepted</v>
          </cell>
          <cell r="U82">
            <v>0</v>
          </cell>
          <cell r="V82" t="str">
            <v>Spring</v>
          </cell>
          <cell r="W82">
            <v>2015</v>
          </cell>
          <cell r="X82" t="str">
            <v>Spring</v>
          </cell>
          <cell r="Y82">
            <v>2015</v>
          </cell>
          <cell r="Z82" t="str">
            <v>High School</v>
          </cell>
          <cell r="AA82">
            <v>2014</v>
          </cell>
          <cell r="AB82">
            <v>2</v>
          </cell>
          <cell r="AC82">
            <v>2</v>
          </cell>
          <cell r="AD82" t="str">
            <v>Science</v>
          </cell>
          <cell r="AE82" t="str">
            <v>Brayte</v>
          </cell>
          <cell r="AF82" t="str">
            <v>Duhok</v>
          </cell>
          <cell r="AG82" t="str">
            <v>Zirka</v>
          </cell>
          <cell r="AH82">
            <v>61</v>
          </cell>
          <cell r="AK82">
            <v>61</v>
          </cell>
          <cell r="AM82">
            <v>61</v>
          </cell>
          <cell r="AP82">
            <v>3</v>
          </cell>
          <cell r="BG82">
            <v>1</v>
          </cell>
        </row>
        <row r="83">
          <cell r="D83" t="str">
            <v>A21500089</v>
          </cell>
          <cell r="E83" t="str">
            <v>Omeed</v>
          </cell>
          <cell r="F83" t="str">
            <v>Farhad</v>
          </cell>
          <cell r="G83" t="str">
            <v>Hamdi</v>
          </cell>
          <cell r="H83" t="str">
            <v>Male</v>
          </cell>
          <cell r="I83">
            <v>1994</v>
          </cell>
          <cell r="J83" t="str">
            <v>Kurdish</v>
          </cell>
          <cell r="K83">
            <v>7507152524</v>
          </cell>
          <cell r="L83">
            <v>7504178489</v>
          </cell>
          <cell r="M83" t="str">
            <v>omed541@hotmail.com</v>
          </cell>
          <cell r="N83" t="str">
            <v>No</v>
          </cell>
          <cell r="O83" t="str">
            <v>No</v>
          </cell>
          <cell r="P83" t="str">
            <v>Local</v>
          </cell>
          <cell r="Q83" t="str">
            <v>First Year</v>
          </cell>
          <cell r="R83" t="str">
            <v>Martyr's Aid</v>
          </cell>
          <cell r="T83" t="str">
            <v>Accepted</v>
          </cell>
          <cell r="U83">
            <v>0</v>
          </cell>
          <cell r="V83" t="str">
            <v>Spring</v>
          </cell>
          <cell r="W83">
            <v>2015</v>
          </cell>
          <cell r="X83" t="str">
            <v>Spring</v>
          </cell>
          <cell r="Y83">
            <v>2015</v>
          </cell>
          <cell r="Z83" t="str">
            <v>High School</v>
          </cell>
          <cell r="AA83">
            <v>2014</v>
          </cell>
          <cell r="AB83">
            <v>3</v>
          </cell>
          <cell r="AC83">
            <v>2</v>
          </cell>
          <cell r="AD83" t="str">
            <v>Science</v>
          </cell>
          <cell r="AE83" t="str">
            <v>Kawa</v>
          </cell>
          <cell r="AF83" t="str">
            <v>Duhok</v>
          </cell>
          <cell r="AG83" t="str">
            <v>K.R.O</v>
          </cell>
          <cell r="AH83">
            <v>60</v>
          </cell>
          <cell r="AK83">
            <v>60</v>
          </cell>
          <cell r="AM83">
            <v>60</v>
          </cell>
          <cell r="AP83">
            <v>6</v>
          </cell>
          <cell r="BJ83">
            <v>1</v>
          </cell>
        </row>
        <row r="84">
          <cell r="D84" t="str">
            <v>N/A</v>
          </cell>
          <cell r="E84" t="str">
            <v>Nihad</v>
          </cell>
          <cell r="F84" t="str">
            <v>Abdulazeez</v>
          </cell>
          <cell r="G84" t="str">
            <v>Waisy</v>
          </cell>
          <cell r="H84" t="str">
            <v>Male</v>
          </cell>
          <cell r="J84" t="str">
            <v>Kurdish</v>
          </cell>
          <cell r="K84">
            <v>7507376003</v>
          </cell>
          <cell r="L84" t="str">
            <v xml:space="preserve">               </v>
          </cell>
          <cell r="T84" t="str">
            <v>Pending</v>
          </cell>
          <cell r="V84" t="str">
            <v>Spring</v>
          </cell>
          <cell r="W84">
            <v>2015</v>
          </cell>
          <cell r="AK84">
            <v>0</v>
          </cell>
          <cell r="AM84">
            <v>0</v>
          </cell>
        </row>
        <row r="85">
          <cell r="D85" t="str">
            <v>A21500018</v>
          </cell>
          <cell r="E85" t="str">
            <v>Ali</v>
          </cell>
          <cell r="F85" t="str">
            <v>Khairuldeen</v>
          </cell>
          <cell r="G85" t="str">
            <v>Sadeq</v>
          </cell>
          <cell r="H85" t="str">
            <v>Male</v>
          </cell>
          <cell r="I85">
            <v>1996</v>
          </cell>
          <cell r="J85" t="str">
            <v>Kurdish</v>
          </cell>
          <cell r="K85">
            <v>7501644233</v>
          </cell>
          <cell r="L85">
            <v>7504507115</v>
          </cell>
          <cell r="M85" t="str">
            <v>heroali95@yahoo.com</v>
          </cell>
          <cell r="N85" t="str">
            <v>No</v>
          </cell>
          <cell r="O85" t="str">
            <v>No</v>
          </cell>
          <cell r="P85" t="str">
            <v>Local</v>
          </cell>
          <cell r="Q85" t="str">
            <v>First Year</v>
          </cell>
          <cell r="R85" t="str">
            <v>Regular</v>
          </cell>
          <cell r="T85" t="str">
            <v>Accepted</v>
          </cell>
          <cell r="U85">
            <v>0</v>
          </cell>
          <cell r="V85" t="str">
            <v>Spring</v>
          </cell>
          <cell r="W85">
            <v>2015</v>
          </cell>
          <cell r="X85" t="str">
            <v>Spring</v>
          </cell>
          <cell r="Y85">
            <v>2015</v>
          </cell>
          <cell r="Z85" t="str">
            <v>High School</v>
          </cell>
          <cell r="AA85">
            <v>2014</v>
          </cell>
          <cell r="AB85">
            <v>1</v>
          </cell>
          <cell r="AC85">
            <v>2</v>
          </cell>
          <cell r="AD85" t="str">
            <v>Science</v>
          </cell>
          <cell r="AE85" t="str">
            <v>Bizhara</v>
          </cell>
          <cell r="AF85" t="str">
            <v>Duhok</v>
          </cell>
          <cell r="AG85" t="str">
            <v>Grebase</v>
          </cell>
          <cell r="AH85">
            <v>68</v>
          </cell>
          <cell r="AK85">
            <v>68</v>
          </cell>
          <cell r="AM85">
            <v>68</v>
          </cell>
          <cell r="AN85" t="str">
            <v>43</v>
          </cell>
          <cell r="AP85">
            <v>6</v>
          </cell>
          <cell r="BG85">
            <v>1</v>
          </cell>
        </row>
        <row r="86">
          <cell r="D86" t="str">
            <v>A21500122</v>
          </cell>
          <cell r="E86" t="str">
            <v>Barzan</v>
          </cell>
          <cell r="F86" t="str">
            <v>Nazhat</v>
          </cell>
          <cell r="G86" t="str">
            <v>Hali</v>
          </cell>
          <cell r="H86" t="str">
            <v>Male</v>
          </cell>
          <cell r="I86">
            <v>1995</v>
          </cell>
          <cell r="J86" t="str">
            <v>Kurdish</v>
          </cell>
          <cell r="K86">
            <v>7504917677</v>
          </cell>
          <cell r="L86">
            <v>7504709595</v>
          </cell>
          <cell r="N86" t="str">
            <v xml:space="preserve">No </v>
          </cell>
          <cell r="O86" t="str">
            <v>No</v>
          </cell>
          <cell r="P86" t="str">
            <v>Local</v>
          </cell>
          <cell r="Q86" t="str">
            <v>First Year</v>
          </cell>
          <cell r="R86" t="str">
            <v>Regular</v>
          </cell>
          <cell r="T86" t="str">
            <v>Accepted</v>
          </cell>
          <cell r="U86">
            <v>0</v>
          </cell>
          <cell r="V86" t="str">
            <v>Spring</v>
          </cell>
          <cell r="W86">
            <v>2015</v>
          </cell>
          <cell r="X86" t="str">
            <v>Spring</v>
          </cell>
          <cell r="Y86">
            <v>2015</v>
          </cell>
          <cell r="Z86" t="str">
            <v>High School</v>
          </cell>
          <cell r="AA86">
            <v>2014</v>
          </cell>
          <cell r="AC86">
            <v>2</v>
          </cell>
          <cell r="AD86" t="str">
            <v>Science</v>
          </cell>
          <cell r="AE86" t="str">
            <v>Kurdistan</v>
          </cell>
          <cell r="AF86" t="str">
            <v>Hawler</v>
          </cell>
          <cell r="AH86">
            <v>76.599999999999994</v>
          </cell>
          <cell r="AK86">
            <v>76.599999999999994</v>
          </cell>
          <cell r="AM86">
            <v>76.599999999999994</v>
          </cell>
          <cell r="AP86">
            <v>6</v>
          </cell>
          <cell r="AU86">
            <v>1</v>
          </cell>
        </row>
        <row r="87">
          <cell r="D87" t="str">
            <v>A21500072</v>
          </cell>
          <cell r="E87" t="str">
            <v>Nihad</v>
          </cell>
          <cell r="F87" t="str">
            <v>Abdullah</v>
          </cell>
          <cell r="G87" t="str">
            <v>Ali</v>
          </cell>
          <cell r="H87" t="str">
            <v>Male</v>
          </cell>
          <cell r="I87">
            <v>1992</v>
          </cell>
          <cell r="J87" t="str">
            <v>Kurdish</v>
          </cell>
          <cell r="K87">
            <v>627621642</v>
          </cell>
          <cell r="L87">
            <v>7504110710</v>
          </cell>
          <cell r="N87" t="str">
            <v>No</v>
          </cell>
          <cell r="O87" t="str">
            <v>No</v>
          </cell>
          <cell r="P87" t="str">
            <v>Local</v>
          </cell>
          <cell r="Q87" t="str">
            <v>First Year</v>
          </cell>
          <cell r="R87" t="str">
            <v>Regular</v>
          </cell>
          <cell r="T87" t="str">
            <v>Accepted</v>
          </cell>
          <cell r="U87">
            <v>0</v>
          </cell>
          <cell r="V87" t="str">
            <v>Spring</v>
          </cell>
          <cell r="W87">
            <v>2015</v>
          </cell>
          <cell r="X87" t="str">
            <v>Spring</v>
          </cell>
          <cell r="Y87">
            <v>2015</v>
          </cell>
          <cell r="Z87" t="str">
            <v>High School</v>
          </cell>
          <cell r="AA87">
            <v>2013</v>
          </cell>
          <cell r="AB87">
            <v>2</v>
          </cell>
          <cell r="AC87">
            <v>2</v>
          </cell>
          <cell r="AD87" t="str">
            <v>Science</v>
          </cell>
          <cell r="AE87" t="str">
            <v>Malta</v>
          </cell>
          <cell r="AF87" t="str">
            <v>Duhok</v>
          </cell>
          <cell r="AG87" t="str">
            <v>K.R.O</v>
          </cell>
          <cell r="AH87">
            <v>58</v>
          </cell>
          <cell r="AK87">
            <v>58</v>
          </cell>
          <cell r="AM87">
            <v>58</v>
          </cell>
          <cell r="AP87">
            <v>4</v>
          </cell>
          <cell r="BG87">
            <v>1</v>
          </cell>
        </row>
        <row r="88">
          <cell r="D88" t="str">
            <v>A21500111</v>
          </cell>
          <cell r="E88" t="str">
            <v>Aileen</v>
          </cell>
          <cell r="F88" t="str">
            <v>Giorgees</v>
          </cell>
          <cell r="G88" t="str">
            <v>Ishaq</v>
          </cell>
          <cell r="H88" t="str">
            <v>Female</v>
          </cell>
          <cell r="I88">
            <v>1979</v>
          </cell>
          <cell r="J88" t="str">
            <v>Kurdish</v>
          </cell>
          <cell r="K88">
            <v>7504710927</v>
          </cell>
          <cell r="L88">
            <v>7504045570</v>
          </cell>
          <cell r="N88" t="str">
            <v>No</v>
          </cell>
          <cell r="O88" t="str">
            <v>No</v>
          </cell>
          <cell r="P88" t="str">
            <v>Local</v>
          </cell>
          <cell r="Q88" t="str">
            <v>First Year</v>
          </cell>
          <cell r="R88" t="str">
            <v>Regular</v>
          </cell>
          <cell r="T88" t="str">
            <v>Accepted</v>
          </cell>
          <cell r="U88">
            <v>0</v>
          </cell>
          <cell r="V88" t="str">
            <v>Spring</v>
          </cell>
          <cell r="W88">
            <v>2015</v>
          </cell>
          <cell r="X88" t="str">
            <v>Spring</v>
          </cell>
          <cell r="Y88">
            <v>2015</v>
          </cell>
          <cell r="Z88" t="str">
            <v>High School</v>
          </cell>
          <cell r="AA88">
            <v>2004</v>
          </cell>
          <cell r="AB88">
            <v>1</v>
          </cell>
          <cell r="AC88">
            <v>2</v>
          </cell>
          <cell r="AD88" t="str">
            <v>Science</v>
          </cell>
          <cell r="AE88" t="str">
            <v>Home School</v>
          </cell>
          <cell r="AF88" t="str">
            <v>Duhok</v>
          </cell>
          <cell r="AH88">
            <v>57.7</v>
          </cell>
          <cell r="AK88">
            <v>57.7</v>
          </cell>
          <cell r="AM88">
            <v>57.7</v>
          </cell>
          <cell r="AP88">
            <v>1</v>
          </cell>
          <cell r="AZ88">
            <v>1</v>
          </cell>
        </row>
        <row r="89">
          <cell r="D89" t="str">
            <v>N/A</v>
          </cell>
          <cell r="E89" t="str">
            <v>Zana</v>
          </cell>
          <cell r="F89" t="str">
            <v>Omar</v>
          </cell>
          <cell r="H89" t="str">
            <v>Male</v>
          </cell>
          <cell r="J89" t="str">
            <v>Kurdish</v>
          </cell>
          <cell r="K89">
            <v>7504454443</v>
          </cell>
          <cell r="L89">
            <v>7504640111</v>
          </cell>
          <cell r="T89" t="str">
            <v>Pending</v>
          </cell>
          <cell r="V89" t="str">
            <v>Spring</v>
          </cell>
          <cell r="W89">
            <v>2015</v>
          </cell>
          <cell r="AH89">
            <v>56</v>
          </cell>
          <cell r="AK89">
            <v>56</v>
          </cell>
          <cell r="AM89">
            <v>56</v>
          </cell>
          <cell r="BG89">
            <v>1</v>
          </cell>
        </row>
        <row r="90">
          <cell r="D90" t="str">
            <v>A21500042</v>
          </cell>
          <cell r="E90" t="str">
            <v>Roshat</v>
          </cell>
          <cell r="F90" t="str">
            <v>Muhammad</v>
          </cell>
          <cell r="G90" t="str">
            <v>Mahdi</v>
          </cell>
          <cell r="H90" t="str">
            <v>Male</v>
          </cell>
          <cell r="I90">
            <v>1991</v>
          </cell>
          <cell r="J90" t="str">
            <v>Kurdish</v>
          </cell>
          <cell r="K90">
            <v>7503807777</v>
          </cell>
          <cell r="L90">
            <v>7503807777</v>
          </cell>
          <cell r="N90" t="str">
            <v>No</v>
          </cell>
          <cell r="O90" t="str">
            <v>No</v>
          </cell>
          <cell r="P90" t="str">
            <v>International</v>
          </cell>
          <cell r="Q90" t="str">
            <v>First Year</v>
          </cell>
          <cell r="R90" t="str">
            <v>Regular</v>
          </cell>
          <cell r="S90" t="str">
            <v>Family Discount</v>
          </cell>
          <cell r="T90" t="str">
            <v>Accepted</v>
          </cell>
          <cell r="U90">
            <v>0</v>
          </cell>
          <cell r="V90" t="str">
            <v>Spring</v>
          </cell>
          <cell r="W90">
            <v>2015</v>
          </cell>
          <cell r="X90" t="str">
            <v>Spring</v>
          </cell>
          <cell r="Y90">
            <v>2015</v>
          </cell>
          <cell r="Z90" t="str">
            <v>High School</v>
          </cell>
          <cell r="AA90">
            <v>2014</v>
          </cell>
          <cell r="AD90" t="str">
            <v>Science</v>
          </cell>
          <cell r="AF90" t="str">
            <v>Duhok</v>
          </cell>
          <cell r="AG90" t="str">
            <v>Shele</v>
          </cell>
          <cell r="AH90">
            <v>75</v>
          </cell>
          <cell r="AK90">
            <v>75</v>
          </cell>
          <cell r="AM90">
            <v>75</v>
          </cell>
          <cell r="AP90">
            <v>6</v>
          </cell>
          <cell r="BB90">
            <v>1</v>
          </cell>
        </row>
        <row r="91">
          <cell r="D91" t="str">
            <v>N/A</v>
          </cell>
          <cell r="E91" t="str">
            <v>Shivan</v>
          </cell>
          <cell r="F91" t="str">
            <v>Muhsin</v>
          </cell>
          <cell r="G91" t="str">
            <v>Hamdi</v>
          </cell>
          <cell r="H91" t="str">
            <v>Male</v>
          </cell>
          <cell r="J91" t="str">
            <v>Kurdish</v>
          </cell>
          <cell r="K91">
            <v>7504576199</v>
          </cell>
          <cell r="L91">
            <v>7505106333</v>
          </cell>
          <cell r="T91" t="str">
            <v>Pending</v>
          </cell>
          <cell r="V91" t="str">
            <v>Spring</v>
          </cell>
          <cell r="W91">
            <v>2015</v>
          </cell>
          <cell r="AK91">
            <v>0</v>
          </cell>
          <cell r="AM91">
            <v>0</v>
          </cell>
          <cell r="AP91">
            <v>2</v>
          </cell>
        </row>
        <row r="92">
          <cell r="D92" t="str">
            <v>A21500040</v>
          </cell>
          <cell r="E92" t="str">
            <v>Barzan</v>
          </cell>
          <cell r="F92" t="str">
            <v>Ghazi</v>
          </cell>
          <cell r="G92" t="str">
            <v>Mohamed Salih</v>
          </cell>
          <cell r="H92" t="str">
            <v>Male</v>
          </cell>
          <cell r="I92">
            <v>1993</v>
          </cell>
          <cell r="J92" t="str">
            <v>Kurdish</v>
          </cell>
          <cell r="K92">
            <v>7503162085</v>
          </cell>
          <cell r="L92">
            <v>7504695893</v>
          </cell>
          <cell r="N92" t="str">
            <v>No</v>
          </cell>
          <cell r="O92" t="str">
            <v>No</v>
          </cell>
          <cell r="P92" t="str">
            <v>Local</v>
          </cell>
          <cell r="Q92" t="str">
            <v>First Year</v>
          </cell>
          <cell r="R92" t="str">
            <v>Martyr's Aid</v>
          </cell>
          <cell r="T92" t="str">
            <v>Accepted</v>
          </cell>
          <cell r="U92">
            <v>0</v>
          </cell>
          <cell r="V92" t="str">
            <v>Spring</v>
          </cell>
          <cell r="W92">
            <v>2015</v>
          </cell>
          <cell r="X92" t="str">
            <v>Spring</v>
          </cell>
          <cell r="Y92">
            <v>2015</v>
          </cell>
          <cell r="Z92" t="str">
            <v>High School</v>
          </cell>
          <cell r="AA92">
            <v>2014</v>
          </cell>
          <cell r="AE92" t="str">
            <v>Brayate</v>
          </cell>
          <cell r="AF92" t="str">
            <v>Duhok</v>
          </cell>
          <cell r="AG92" t="str">
            <v>Sumel</v>
          </cell>
          <cell r="AH92">
            <v>65.5</v>
          </cell>
          <cell r="AK92">
            <v>65.5</v>
          </cell>
          <cell r="AM92">
            <v>65.5</v>
          </cell>
          <cell r="AP92">
            <v>2</v>
          </cell>
          <cell r="AQ92">
            <v>1</v>
          </cell>
        </row>
        <row r="93">
          <cell r="D93" t="str">
            <v>00000090</v>
          </cell>
          <cell r="E93" t="str">
            <v>Chira</v>
          </cell>
          <cell r="F93" t="str">
            <v>Khairalddin</v>
          </cell>
          <cell r="G93" t="str">
            <v>Chamaladeen</v>
          </cell>
          <cell r="H93" t="str">
            <v>Female</v>
          </cell>
          <cell r="I93">
            <v>1994</v>
          </cell>
          <cell r="J93" t="str">
            <v>Kurdish</v>
          </cell>
          <cell r="K93">
            <v>7502144298</v>
          </cell>
          <cell r="L93">
            <v>7504871994</v>
          </cell>
          <cell r="P93" t="str">
            <v>Local</v>
          </cell>
          <cell r="R93" t="str">
            <v>Regular</v>
          </cell>
          <cell r="T93" t="str">
            <v>Accepted</v>
          </cell>
          <cell r="U93" t="str">
            <v>Withdraw</v>
          </cell>
          <cell r="V93" t="str">
            <v>Spring</v>
          </cell>
          <cell r="W93">
            <v>2015</v>
          </cell>
          <cell r="AH93">
            <v>74</v>
          </cell>
          <cell r="AK93">
            <v>74</v>
          </cell>
          <cell r="AM93">
            <v>74</v>
          </cell>
          <cell r="BJ93">
            <v>1</v>
          </cell>
        </row>
        <row r="94">
          <cell r="D94" t="str">
            <v>A21500094</v>
          </cell>
          <cell r="E94" t="str">
            <v>Gabo</v>
          </cell>
          <cell r="F94" t="str">
            <v>Hadi</v>
          </cell>
          <cell r="G94" t="str">
            <v>Shekho</v>
          </cell>
          <cell r="H94" t="str">
            <v>Male</v>
          </cell>
          <cell r="I94">
            <v>1993</v>
          </cell>
          <cell r="J94" t="str">
            <v>Kurdish</v>
          </cell>
          <cell r="K94">
            <v>7508363111</v>
          </cell>
          <cell r="L94">
            <v>7504454837</v>
          </cell>
          <cell r="N94" t="str">
            <v>No</v>
          </cell>
          <cell r="O94" t="str">
            <v>No</v>
          </cell>
          <cell r="P94" t="str">
            <v>Local</v>
          </cell>
          <cell r="Q94" t="str">
            <v>First Year</v>
          </cell>
          <cell r="R94" t="str">
            <v>Regular</v>
          </cell>
          <cell r="T94" t="str">
            <v>Accepted</v>
          </cell>
          <cell r="U94">
            <v>0</v>
          </cell>
          <cell r="V94" t="str">
            <v>Spring</v>
          </cell>
          <cell r="W94">
            <v>2015</v>
          </cell>
          <cell r="X94" t="str">
            <v>Spring</v>
          </cell>
          <cell r="Y94">
            <v>2015</v>
          </cell>
          <cell r="Z94" t="str">
            <v>High School</v>
          </cell>
          <cell r="AA94">
            <v>2014</v>
          </cell>
          <cell r="AB94">
            <v>2</v>
          </cell>
          <cell r="AC94">
            <v>2</v>
          </cell>
          <cell r="AD94" t="str">
            <v>Science</v>
          </cell>
          <cell r="AE94" t="str">
            <v>Khanke</v>
          </cell>
          <cell r="AF94" t="str">
            <v>Duhok</v>
          </cell>
          <cell r="AG94" t="str">
            <v>Khanke</v>
          </cell>
          <cell r="AH94">
            <v>58</v>
          </cell>
          <cell r="AK94">
            <v>58</v>
          </cell>
          <cell r="AM94">
            <v>58</v>
          </cell>
          <cell r="AP94">
            <v>4</v>
          </cell>
          <cell r="AZ94">
            <v>3</v>
          </cell>
          <cell r="BB94">
            <v>1</v>
          </cell>
          <cell r="BG94">
            <v>2</v>
          </cell>
        </row>
        <row r="95">
          <cell r="D95" t="str">
            <v>A21500076</v>
          </cell>
          <cell r="E95" t="str">
            <v>Karzan</v>
          </cell>
          <cell r="F95" t="str">
            <v>Akram</v>
          </cell>
          <cell r="G95" t="str">
            <v>Salih</v>
          </cell>
          <cell r="H95" t="str">
            <v>Male</v>
          </cell>
          <cell r="I95">
            <v>1993</v>
          </cell>
          <cell r="J95" t="str">
            <v>Kurdish</v>
          </cell>
          <cell r="K95">
            <v>7504454846</v>
          </cell>
          <cell r="L95">
            <v>7504573346</v>
          </cell>
          <cell r="M95" t="str">
            <v>karzanakram1@gmail.com</v>
          </cell>
          <cell r="N95" t="str">
            <v>No</v>
          </cell>
          <cell r="O95" t="str">
            <v>No</v>
          </cell>
          <cell r="P95" t="str">
            <v>Local</v>
          </cell>
          <cell r="Q95" t="str">
            <v>First Year</v>
          </cell>
          <cell r="R95" t="str">
            <v>Political Prisoner</v>
          </cell>
          <cell r="T95" t="str">
            <v>Accepted</v>
          </cell>
          <cell r="U95">
            <v>0</v>
          </cell>
          <cell r="V95" t="str">
            <v>Spring</v>
          </cell>
          <cell r="W95">
            <v>2015</v>
          </cell>
          <cell r="X95" t="str">
            <v>Spring</v>
          </cell>
          <cell r="Y95">
            <v>2015</v>
          </cell>
          <cell r="Z95" t="str">
            <v>High School</v>
          </cell>
          <cell r="AA95">
            <v>2014</v>
          </cell>
          <cell r="AB95">
            <v>1</v>
          </cell>
          <cell r="AD95" t="str">
            <v>Science</v>
          </cell>
          <cell r="AE95" t="str">
            <v>Hiwa</v>
          </cell>
          <cell r="AF95" t="str">
            <v>Zakho</v>
          </cell>
          <cell r="AG95" t="str">
            <v>Ashti st.</v>
          </cell>
          <cell r="AH95">
            <v>55.8</v>
          </cell>
          <cell r="AK95">
            <v>55.8</v>
          </cell>
          <cell r="AM95">
            <v>55.8</v>
          </cell>
          <cell r="AP95">
            <v>4</v>
          </cell>
          <cell r="BB95">
            <v>1</v>
          </cell>
        </row>
        <row r="96">
          <cell r="D96" t="str">
            <v>00000093</v>
          </cell>
          <cell r="E96" t="str">
            <v>Fatima</v>
          </cell>
          <cell r="F96" t="str">
            <v>Khorshid</v>
          </cell>
          <cell r="G96" t="str">
            <v>Tawfiq</v>
          </cell>
          <cell r="H96" t="str">
            <v>Female</v>
          </cell>
          <cell r="J96" t="str">
            <v>Kurdish</v>
          </cell>
          <cell r="K96">
            <v>7504455274</v>
          </cell>
          <cell r="L96">
            <v>7504670522</v>
          </cell>
          <cell r="P96" t="str">
            <v>Local</v>
          </cell>
          <cell r="T96" t="str">
            <v>Accepted</v>
          </cell>
          <cell r="U96" t="str">
            <v>Withdraw</v>
          </cell>
          <cell r="V96" t="str">
            <v>Spring</v>
          </cell>
          <cell r="W96">
            <v>2015</v>
          </cell>
          <cell r="AF96" t="str">
            <v>Zakho</v>
          </cell>
          <cell r="AH96">
            <v>62</v>
          </cell>
          <cell r="AK96">
            <v>62</v>
          </cell>
          <cell r="AM96">
            <v>62</v>
          </cell>
          <cell r="AP96">
            <v>3</v>
          </cell>
          <cell r="AU96">
            <v>2</v>
          </cell>
          <cell r="AW96">
            <v>3</v>
          </cell>
          <cell r="BG96">
            <v>1</v>
          </cell>
        </row>
        <row r="97">
          <cell r="D97" t="str">
            <v>A21500078</v>
          </cell>
          <cell r="E97" t="str">
            <v>Saman</v>
          </cell>
          <cell r="F97" t="str">
            <v>Salar</v>
          </cell>
          <cell r="G97" t="str">
            <v>Jafer</v>
          </cell>
          <cell r="H97" t="str">
            <v>Male</v>
          </cell>
          <cell r="I97">
            <v>1995</v>
          </cell>
          <cell r="J97" t="str">
            <v>Kurdish</v>
          </cell>
          <cell r="K97">
            <v>7504231710</v>
          </cell>
          <cell r="L97">
            <v>7504208736</v>
          </cell>
          <cell r="M97" t="str">
            <v>saman-sad22@yahoo.com</v>
          </cell>
          <cell r="N97" t="str">
            <v>No</v>
          </cell>
          <cell r="O97" t="str">
            <v>No</v>
          </cell>
          <cell r="P97" t="str">
            <v>Local</v>
          </cell>
          <cell r="Q97" t="str">
            <v>First Year</v>
          </cell>
          <cell r="R97" t="str">
            <v>Regular</v>
          </cell>
          <cell r="T97" t="str">
            <v>Accepted</v>
          </cell>
          <cell r="U97">
            <v>0</v>
          </cell>
          <cell r="V97" t="str">
            <v>Spring</v>
          </cell>
          <cell r="W97">
            <v>2015</v>
          </cell>
          <cell r="X97" t="str">
            <v>Spring</v>
          </cell>
          <cell r="Y97">
            <v>2015</v>
          </cell>
          <cell r="Z97" t="str">
            <v>High School</v>
          </cell>
          <cell r="AA97">
            <v>2014</v>
          </cell>
          <cell r="AB97">
            <v>2</v>
          </cell>
          <cell r="AC97">
            <v>2</v>
          </cell>
          <cell r="AD97" t="str">
            <v>Science</v>
          </cell>
          <cell r="AE97" t="str">
            <v>Altaaxy</v>
          </cell>
          <cell r="AF97" t="str">
            <v>Duhok</v>
          </cell>
          <cell r="AG97" t="str">
            <v>Malta</v>
          </cell>
          <cell r="AH97">
            <v>60</v>
          </cell>
          <cell r="AK97">
            <v>60</v>
          </cell>
          <cell r="AM97">
            <v>60</v>
          </cell>
          <cell r="AN97" t="str">
            <v>72</v>
          </cell>
          <cell r="AP97">
            <v>6</v>
          </cell>
          <cell r="AW97">
            <v>1</v>
          </cell>
          <cell r="BD97">
            <v>3</v>
          </cell>
          <cell r="BG97">
            <v>2</v>
          </cell>
        </row>
        <row r="98">
          <cell r="D98" t="str">
            <v>A21500112</v>
          </cell>
          <cell r="E98" t="str">
            <v>Muhtab</v>
          </cell>
          <cell r="F98" t="str">
            <v>Jalal</v>
          </cell>
          <cell r="G98" t="str">
            <v>M. Sadeeq</v>
          </cell>
          <cell r="H98" t="str">
            <v>Female</v>
          </cell>
          <cell r="I98">
            <v>1995</v>
          </cell>
          <cell r="J98" t="str">
            <v>Kurdish</v>
          </cell>
          <cell r="K98">
            <v>7504896555</v>
          </cell>
          <cell r="L98">
            <v>7504454473</v>
          </cell>
          <cell r="N98" t="str">
            <v>No</v>
          </cell>
          <cell r="O98" t="str">
            <v>No</v>
          </cell>
          <cell r="P98" t="str">
            <v>Local</v>
          </cell>
          <cell r="Q98" t="str">
            <v>First Year</v>
          </cell>
          <cell r="R98" t="str">
            <v>Regular</v>
          </cell>
          <cell r="T98" t="str">
            <v>Accepted</v>
          </cell>
          <cell r="U98">
            <v>0</v>
          </cell>
          <cell r="V98" t="str">
            <v>Spring</v>
          </cell>
          <cell r="W98">
            <v>2015</v>
          </cell>
          <cell r="X98" t="str">
            <v>Spring</v>
          </cell>
          <cell r="Y98">
            <v>2015</v>
          </cell>
          <cell r="Z98" t="str">
            <v>High School</v>
          </cell>
          <cell r="AA98">
            <v>2014</v>
          </cell>
          <cell r="AB98">
            <v>1</v>
          </cell>
          <cell r="AC98">
            <v>2</v>
          </cell>
          <cell r="AD98" t="str">
            <v>Science</v>
          </cell>
          <cell r="AE98" t="str">
            <v>Duhok</v>
          </cell>
          <cell r="AF98" t="str">
            <v>Duhok</v>
          </cell>
          <cell r="AG98" t="str">
            <v>K.R.O</v>
          </cell>
          <cell r="AH98">
            <v>55</v>
          </cell>
          <cell r="AK98">
            <v>55</v>
          </cell>
          <cell r="AM98">
            <v>55</v>
          </cell>
          <cell r="AP98">
            <v>6</v>
          </cell>
          <cell r="BB98">
            <v>2</v>
          </cell>
          <cell r="BD98">
            <v>3</v>
          </cell>
          <cell r="BG98">
            <v>1</v>
          </cell>
        </row>
        <row r="99">
          <cell r="D99" t="str">
            <v>A21500055</v>
          </cell>
          <cell r="E99" t="str">
            <v>Haji</v>
          </cell>
          <cell r="F99" t="str">
            <v>Ghazi</v>
          </cell>
          <cell r="G99" t="str">
            <v>Ali</v>
          </cell>
          <cell r="H99" t="str">
            <v>Male</v>
          </cell>
          <cell r="I99">
            <v>1992</v>
          </cell>
          <cell r="J99" t="str">
            <v>Kurdish</v>
          </cell>
          <cell r="K99">
            <v>7507024224</v>
          </cell>
          <cell r="L99">
            <v>7504110665</v>
          </cell>
          <cell r="N99" t="str">
            <v>No</v>
          </cell>
          <cell r="O99" t="str">
            <v>No</v>
          </cell>
          <cell r="P99" t="str">
            <v>Local</v>
          </cell>
          <cell r="Q99" t="str">
            <v>First Year</v>
          </cell>
          <cell r="R99" t="str">
            <v>Regular</v>
          </cell>
          <cell r="T99" t="str">
            <v>Accepted</v>
          </cell>
          <cell r="U99">
            <v>0</v>
          </cell>
          <cell r="V99" t="str">
            <v>Spring</v>
          </cell>
          <cell r="W99">
            <v>2015</v>
          </cell>
          <cell r="X99" t="str">
            <v>Spring</v>
          </cell>
          <cell r="Y99">
            <v>2015</v>
          </cell>
          <cell r="Z99" t="str">
            <v>High School</v>
          </cell>
          <cell r="AA99">
            <v>2014</v>
          </cell>
          <cell r="AB99">
            <v>1</v>
          </cell>
          <cell r="AC99">
            <v>2</v>
          </cell>
          <cell r="AD99" t="str">
            <v>Science</v>
          </cell>
          <cell r="AE99" t="str">
            <v>Home School</v>
          </cell>
          <cell r="AF99" t="str">
            <v>Duhok</v>
          </cell>
          <cell r="AG99" t="str">
            <v>Masike</v>
          </cell>
          <cell r="AH99">
            <v>55.2</v>
          </cell>
          <cell r="AK99">
            <v>55.2</v>
          </cell>
          <cell r="AM99">
            <v>55.2</v>
          </cell>
          <cell r="AP99">
            <v>1</v>
          </cell>
          <cell r="AZ99">
            <v>1</v>
          </cell>
        </row>
        <row r="100">
          <cell r="D100" t="str">
            <v>N/A</v>
          </cell>
          <cell r="E100" t="str">
            <v>Ayman</v>
          </cell>
          <cell r="F100" t="str">
            <v>Imad</v>
          </cell>
          <cell r="G100" t="str">
            <v>Mohammed</v>
          </cell>
          <cell r="H100" t="str">
            <v>Male</v>
          </cell>
          <cell r="J100" t="str">
            <v>Kurdish</v>
          </cell>
          <cell r="K100">
            <v>7504292288</v>
          </cell>
          <cell r="L100">
            <v>7504587058</v>
          </cell>
          <cell r="P100" t="str">
            <v>Local</v>
          </cell>
          <cell r="T100" t="str">
            <v>Pending</v>
          </cell>
          <cell r="U100" t="str">
            <v>Not Accepted</v>
          </cell>
          <cell r="V100" t="str">
            <v>Spring</v>
          </cell>
          <cell r="W100">
            <v>2015</v>
          </cell>
          <cell r="AH100">
            <v>86</v>
          </cell>
          <cell r="AK100">
            <v>86</v>
          </cell>
          <cell r="AM100">
            <v>86</v>
          </cell>
          <cell r="AP100">
            <v>3</v>
          </cell>
          <cell r="AV100">
            <v>1</v>
          </cell>
        </row>
        <row r="101">
          <cell r="D101" t="str">
            <v>A21500113</v>
          </cell>
          <cell r="E101" t="str">
            <v>Vazheen</v>
          </cell>
          <cell r="F101" t="str">
            <v>Jaseem</v>
          </cell>
          <cell r="G101" t="str">
            <v>Ibrahim</v>
          </cell>
          <cell r="H101" t="str">
            <v>Female</v>
          </cell>
          <cell r="I101">
            <v>1986</v>
          </cell>
          <cell r="J101" t="str">
            <v>Kurdish</v>
          </cell>
          <cell r="K101">
            <v>7504208030</v>
          </cell>
          <cell r="L101">
            <v>7504795971</v>
          </cell>
          <cell r="N101" t="str">
            <v>No</v>
          </cell>
          <cell r="O101" t="str">
            <v>No</v>
          </cell>
          <cell r="P101" t="str">
            <v>Local</v>
          </cell>
          <cell r="Q101" t="str">
            <v>First Year</v>
          </cell>
          <cell r="R101" t="str">
            <v>Regular</v>
          </cell>
          <cell r="T101" t="str">
            <v>Accepted</v>
          </cell>
          <cell r="U101">
            <v>0</v>
          </cell>
          <cell r="V101" t="str">
            <v>Spring</v>
          </cell>
          <cell r="W101">
            <v>2015</v>
          </cell>
          <cell r="X101" t="str">
            <v>Spring</v>
          </cell>
          <cell r="Y101">
            <v>2015</v>
          </cell>
          <cell r="Z101" t="str">
            <v>High School</v>
          </cell>
          <cell r="AA101">
            <v>2008</v>
          </cell>
          <cell r="AB101">
            <v>2</v>
          </cell>
          <cell r="AC101">
            <v>2</v>
          </cell>
          <cell r="AD101" t="str">
            <v>Science</v>
          </cell>
          <cell r="AE101" t="str">
            <v>Layla Qasim</v>
          </cell>
          <cell r="AF101" t="str">
            <v>Duhok</v>
          </cell>
          <cell r="AG101" t="str">
            <v>Dabin</v>
          </cell>
          <cell r="AH101">
            <v>67.5</v>
          </cell>
          <cell r="AK101">
            <v>67.5</v>
          </cell>
          <cell r="AM101">
            <v>67.5</v>
          </cell>
          <cell r="AP101">
            <v>6</v>
          </cell>
          <cell r="AT101">
            <v>1</v>
          </cell>
        </row>
        <row r="102">
          <cell r="D102" t="str">
            <v>A21500115</v>
          </cell>
          <cell r="E102" t="str">
            <v>Dezheen</v>
          </cell>
          <cell r="F102" t="str">
            <v>Mohammed</v>
          </cell>
          <cell r="G102" t="str">
            <v>Ahmed</v>
          </cell>
          <cell r="H102" t="str">
            <v>Female</v>
          </cell>
          <cell r="I102">
            <v>1996</v>
          </cell>
          <cell r="J102" t="str">
            <v>Kurdish</v>
          </cell>
          <cell r="K102">
            <v>7503687776</v>
          </cell>
          <cell r="L102">
            <v>7501618001</v>
          </cell>
          <cell r="N102" t="str">
            <v>No</v>
          </cell>
          <cell r="O102" t="str">
            <v>No</v>
          </cell>
          <cell r="P102" t="str">
            <v>Local</v>
          </cell>
          <cell r="Q102" t="str">
            <v>First Year</v>
          </cell>
          <cell r="R102" t="str">
            <v>Regular</v>
          </cell>
          <cell r="T102" t="str">
            <v>Accepted</v>
          </cell>
          <cell r="U102">
            <v>0</v>
          </cell>
          <cell r="V102" t="str">
            <v>Spring</v>
          </cell>
          <cell r="W102">
            <v>2015</v>
          </cell>
          <cell r="X102" t="str">
            <v>Spring</v>
          </cell>
          <cell r="Y102">
            <v>2015</v>
          </cell>
          <cell r="Z102" t="str">
            <v>High School</v>
          </cell>
          <cell r="AA102">
            <v>2014</v>
          </cell>
          <cell r="AB102">
            <v>1</v>
          </cell>
          <cell r="AC102">
            <v>2</v>
          </cell>
          <cell r="AD102" t="str">
            <v>Science</v>
          </cell>
          <cell r="AE102" t="str">
            <v>Jiyan</v>
          </cell>
          <cell r="AF102" t="str">
            <v>Zakho</v>
          </cell>
          <cell r="AH102">
            <v>64</v>
          </cell>
          <cell r="AK102">
            <v>64</v>
          </cell>
          <cell r="AM102">
            <v>64</v>
          </cell>
          <cell r="AP102">
            <v>5</v>
          </cell>
          <cell r="AW102">
            <v>1</v>
          </cell>
          <cell r="BG102">
            <v>2</v>
          </cell>
          <cell r="BJ102">
            <v>3</v>
          </cell>
        </row>
        <row r="103">
          <cell r="D103" t="str">
            <v>A21500069</v>
          </cell>
          <cell r="E103" t="str">
            <v>Barzan</v>
          </cell>
          <cell r="F103" t="str">
            <v>Hasan</v>
          </cell>
          <cell r="G103" t="str">
            <v>Abdullah</v>
          </cell>
          <cell r="H103" t="str">
            <v>Male</v>
          </cell>
          <cell r="I103">
            <v>1995</v>
          </cell>
          <cell r="J103" t="str">
            <v>Kurdish</v>
          </cell>
          <cell r="K103">
            <v>7507258885</v>
          </cell>
          <cell r="L103">
            <v>7504455751</v>
          </cell>
          <cell r="N103" t="str">
            <v>No</v>
          </cell>
          <cell r="O103" t="str">
            <v>No</v>
          </cell>
          <cell r="P103" t="str">
            <v>Local</v>
          </cell>
          <cell r="Q103" t="str">
            <v>First Year</v>
          </cell>
          <cell r="R103" t="str">
            <v>Regular</v>
          </cell>
          <cell r="T103" t="str">
            <v>Accepted</v>
          </cell>
          <cell r="U103">
            <v>0</v>
          </cell>
          <cell r="V103" t="str">
            <v>Spring</v>
          </cell>
          <cell r="W103">
            <v>2015</v>
          </cell>
          <cell r="X103" t="str">
            <v>Spring</v>
          </cell>
          <cell r="Y103">
            <v>2015</v>
          </cell>
          <cell r="Z103" t="str">
            <v>High School</v>
          </cell>
          <cell r="AA103">
            <v>2014</v>
          </cell>
          <cell r="AB103">
            <v>1</v>
          </cell>
          <cell r="AC103">
            <v>2</v>
          </cell>
          <cell r="AD103" t="str">
            <v>Arts</v>
          </cell>
          <cell r="AE103" t="str">
            <v>Chiya</v>
          </cell>
          <cell r="AF103" t="str">
            <v>Duhok</v>
          </cell>
          <cell r="AG103" t="str">
            <v>Hay Alaskaree</v>
          </cell>
          <cell r="AH103">
            <v>57</v>
          </cell>
          <cell r="AK103">
            <v>57</v>
          </cell>
          <cell r="AM103">
            <v>57</v>
          </cell>
          <cell r="AP103">
            <v>3</v>
          </cell>
          <cell r="BB103">
            <v>1</v>
          </cell>
        </row>
        <row r="104">
          <cell r="D104" t="str">
            <v>A21500084</v>
          </cell>
          <cell r="E104" t="str">
            <v>Roz</v>
          </cell>
          <cell r="F104" t="str">
            <v>Sarbast</v>
          </cell>
          <cell r="G104" t="str">
            <v>Mohammed Taher</v>
          </cell>
          <cell r="H104" t="str">
            <v>Male</v>
          </cell>
          <cell r="I104">
            <v>1994</v>
          </cell>
          <cell r="J104" t="str">
            <v>Kurdish</v>
          </cell>
          <cell r="K104">
            <v>7504503871</v>
          </cell>
          <cell r="L104">
            <v>7504500127</v>
          </cell>
          <cell r="N104" t="str">
            <v>Yes</v>
          </cell>
          <cell r="O104" t="str">
            <v>No</v>
          </cell>
          <cell r="P104" t="str">
            <v>Local</v>
          </cell>
          <cell r="Q104" t="str">
            <v>First Year</v>
          </cell>
          <cell r="R104" t="str">
            <v>Regular</v>
          </cell>
          <cell r="T104" t="str">
            <v>Accepted</v>
          </cell>
          <cell r="U104">
            <v>0</v>
          </cell>
          <cell r="V104" t="str">
            <v>Spring</v>
          </cell>
          <cell r="W104">
            <v>2015</v>
          </cell>
          <cell r="X104" t="str">
            <v>Spring</v>
          </cell>
          <cell r="Y104">
            <v>2015</v>
          </cell>
          <cell r="Z104" t="str">
            <v>High School</v>
          </cell>
          <cell r="AA104">
            <v>2014</v>
          </cell>
          <cell r="AB104">
            <v>2</v>
          </cell>
          <cell r="AC104">
            <v>2</v>
          </cell>
          <cell r="AD104" t="str">
            <v>Science</v>
          </cell>
          <cell r="AE104" t="str">
            <v>Kawa</v>
          </cell>
          <cell r="AF104" t="str">
            <v>Duhok</v>
          </cell>
          <cell r="AG104" t="str">
            <v>K.R.O</v>
          </cell>
          <cell r="AH104">
            <v>65</v>
          </cell>
          <cell r="AK104">
            <v>65</v>
          </cell>
          <cell r="AM104">
            <v>65</v>
          </cell>
          <cell r="AP104">
            <v>6</v>
          </cell>
          <cell r="BG104">
            <v>1</v>
          </cell>
        </row>
        <row r="105">
          <cell r="D105" t="str">
            <v>A21500022</v>
          </cell>
          <cell r="E105" t="str">
            <v>Alend</v>
          </cell>
          <cell r="F105" t="str">
            <v>Azad</v>
          </cell>
          <cell r="G105" t="str">
            <v>Ahmed</v>
          </cell>
          <cell r="H105" t="str">
            <v>Male</v>
          </cell>
          <cell r="I105">
            <v>1995</v>
          </cell>
          <cell r="J105" t="str">
            <v>Kurdish</v>
          </cell>
          <cell r="K105">
            <v>7508197693</v>
          </cell>
          <cell r="L105">
            <v>7504748559</v>
          </cell>
          <cell r="M105" t="str">
            <v>alindmayiazad@gmail.com</v>
          </cell>
          <cell r="N105" t="str">
            <v>No</v>
          </cell>
          <cell r="O105" t="str">
            <v>No</v>
          </cell>
          <cell r="P105" t="str">
            <v>Local</v>
          </cell>
          <cell r="Q105" t="str">
            <v>First Year</v>
          </cell>
          <cell r="R105" t="str">
            <v>Regular</v>
          </cell>
          <cell r="T105" t="str">
            <v>Accepted</v>
          </cell>
          <cell r="U105">
            <v>0</v>
          </cell>
          <cell r="V105" t="str">
            <v>Spring</v>
          </cell>
          <cell r="W105">
            <v>2015</v>
          </cell>
          <cell r="X105" t="str">
            <v>Spring</v>
          </cell>
          <cell r="Y105">
            <v>2015</v>
          </cell>
          <cell r="Z105" t="str">
            <v>High School</v>
          </cell>
          <cell r="AA105">
            <v>2014</v>
          </cell>
          <cell r="AB105">
            <v>1</v>
          </cell>
          <cell r="AC105">
            <v>2</v>
          </cell>
          <cell r="AD105" t="str">
            <v>Science</v>
          </cell>
          <cell r="AE105" t="str">
            <v>Kawa</v>
          </cell>
          <cell r="AF105" t="str">
            <v>Duhok</v>
          </cell>
          <cell r="AG105" t="str">
            <v>Malta</v>
          </cell>
          <cell r="AH105">
            <v>68</v>
          </cell>
          <cell r="AK105">
            <v>68</v>
          </cell>
          <cell r="AM105">
            <v>68</v>
          </cell>
          <cell r="AP105">
            <v>6</v>
          </cell>
          <cell r="AQ105">
            <v>3</v>
          </cell>
          <cell r="AW105">
            <v>2</v>
          </cell>
          <cell r="BG105">
            <v>1</v>
          </cell>
        </row>
        <row r="106">
          <cell r="D106" t="str">
            <v>A21500038</v>
          </cell>
          <cell r="E106" t="str">
            <v>Omar</v>
          </cell>
          <cell r="F106" t="str">
            <v>Mohammed</v>
          </cell>
          <cell r="G106" t="str">
            <v>Haji</v>
          </cell>
          <cell r="H106" t="str">
            <v>Male</v>
          </cell>
          <cell r="I106">
            <v>1992</v>
          </cell>
          <cell r="J106" t="str">
            <v>Kurdish</v>
          </cell>
          <cell r="K106">
            <v>7504949096</v>
          </cell>
          <cell r="L106">
            <v>7504500003</v>
          </cell>
          <cell r="N106" t="str">
            <v>No</v>
          </cell>
          <cell r="O106" t="str">
            <v>No</v>
          </cell>
          <cell r="P106" t="str">
            <v>Local</v>
          </cell>
          <cell r="Q106" t="str">
            <v>First Year</v>
          </cell>
          <cell r="R106" t="str">
            <v>Regular</v>
          </cell>
          <cell r="T106" t="str">
            <v>Accepted</v>
          </cell>
          <cell r="U106">
            <v>0</v>
          </cell>
          <cell r="V106" t="str">
            <v>Spring</v>
          </cell>
          <cell r="W106">
            <v>2015</v>
          </cell>
          <cell r="X106" t="str">
            <v>Spring</v>
          </cell>
          <cell r="Y106">
            <v>2015</v>
          </cell>
          <cell r="Z106" t="str">
            <v>High School</v>
          </cell>
          <cell r="AA106">
            <v>2014</v>
          </cell>
          <cell r="AB106">
            <v>1</v>
          </cell>
          <cell r="AC106">
            <v>2</v>
          </cell>
          <cell r="AD106" t="str">
            <v>Arts</v>
          </cell>
          <cell r="AE106" t="str">
            <v>Bohadar</v>
          </cell>
          <cell r="AF106" t="str">
            <v>Duhok</v>
          </cell>
          <cell r="AG106" t="str">
            <v>Hay Alaskaree</v>
          </cell>
          <cell r="AH106">
            <v>60.5</v>
          </cell>
          <cell r="AK106">
            <v>60.5</v>
          </cell>
          <cell r="AM106">
            <v>60.5</v>
          </cell>
          <cell r="AP106">
            <v>2</v>
          </cell>
          <cell r="BG106">
            <v>1</v>
          </cell>
        </row>
        <row r="107">
          <cell r="D107" t="str">
            <v>A21500039</v>
          </cell>
          <cell r="E107" t="str">
            <v>Sabri</v>
          </cell>
          <cell r="F107" t="str">
            <v>Rasheed</v>
          </cell>
          <cell r="G107" t="str">
            <v>Mohammed Tahir</v>
          </cell>
          <cell r="H107" t="str">
            <v>Male</v>
          </cell>
          <cell r="I107">
            <v>1996</v>
          </cell>
          <cell r="J107" t="str">
            <v>Kurdish</v>
          </cell>
          <cell r="K107">
            <v>7504752720</v>
          </cell>
          <cell r="L107">
            <v>7503833323</v>
          </cell>
          <cell r="N107" t="str">
            <v>No</v>
          </cell>
          <cell r="O107" t="str">
            <v>No</v>
          </cell>
          <cell r="P107" t="str">
            <v>Local</v>
          </cell>
          <cell r="Q107" t="str">
            <v>First Year</v>
          </cell>
          <cell r="R107" t="str">
            <v>Regular</v>
          </cell>
          <cell r="T107" t="str">
            <v>Accepted</v>
          </cell>
          <cell r="U107">
            <v>0</v>
          </cell>
          <cell r="V107" t="str">
            <v>Spring</v>
          </cell>
          <cell r="W107">
            <v>2015</v>
          </cell>
          <cell r="X107" t="str">
            <v>Spring</v>
          </cell>
          <cell r="Y107">
            <v>2015</v>
          </cell>
          <cell r="Z107" t="str">
            <v>High School</v>
          </cell>
          <cell r="AA107">
            <v>2014</v>
          </cell>
          <cell r="AB107">
            <v>1</v>
          </cell>
          <cell r="AC107">
            <v>2</v>
          </cell>
          <cell r="AD107" t="str">
            <v>Science</v>
          </cell>
          <cell r="AE107" t="str">
            <v>Bizhara</v>
          </cell>
          <cell r="AF107" t="str">
            <v>Duhok</v>
          </cell>
          <cell r="AH107">
            <v>70</v>
          </cell>
          <cell r="AK107">
            <v>70</v>
          </cell>
          <cell r="AM107">
            <v>70</v>
          </cell>
          <cell r="AP107">
            <v>2</v>
          </cell>
          <cell r="BG107">
            <v>1</v>
          </cell>
        </row>
        <row r="108">
          <cell r="D108" t="str">
            <v>A21500009</v>
          </cell>
          <cell r="E108" t="str">
            <v>Mohammed</v>
          </cell>
          <cell r="F108" t="str">
            <v>Issa</v>
          </cell>
          <cell r="G108" t="str">
            <v>Mousa</v>
          </cell>
          <cell r="H108" t="str">
            <v>Male</v>
          </cell>
          <cell r="I108">
            <v>1981</v>
          </cell>
          <cell r="J108" t="str">
            <v>Kurdish</v>
          </cell>
          <cell r="K108">
            <v>7504588971</v>
          </cell>
          <cell r="L108">
            <v>7504588971</v>
          </cell>
          <cell r="M108" t="str">
            <v>mohammad.issa1360@gmail.com</v>
          </cell>
          <cell r="N108" t="str">
            <v>No</v>
          </cell>
          <cell r="O108" t="str">
            <v>No</v>
          </cell>
          <cell r="P108" t="str">
            <v>International</v>
          </cell>
          <cell r="Q108" t="str">
            <v>First Year</v>
          </cell>
          <cell r="R108" t="str">
            <v>Regular</v>
          </cell>
          <cell r="T108" t="str">
            <v>Accepted</v>
          </cell>
          <cell r="U108">
            <v>0</v>
          </cell>
          <cell r="V108" t="str">
            <v>Spring</v>
          </cell>
          <cell r="W108">
            <v>2015</v>
          </cell>
          <cell r="X108" t="str">
            <v>Spring</v>
          </cell>
          <cell r="Y108">
            <v>2015</v>
          </cell>
          <cell r="Z108" t="str">
            <v>5-Year Institute</v>
          </cell>
          <cell r="AA108">
            <v>1999</v>
          </cell>
          <cell r="AD108" t="str">
            <v>Arts</v>
          </cell>
          <cell r="AE108" t="str">
            <v>Honarstan Israd Mtahare</v>
          </cell>
          <cell r="AF108" t="str">
            <v>Duhok</v>
          </cell>
          <cell r="AG108" t="str">
            <v>Tanahi</v>
          </cell>
          <cell r="AH108">
            <v>68.8</v>
          </cell>
          <cell r="AK108">
            <v>68.8</v>
          </cell>
          <cell r="AM108">
            <v>68.8</v>
          </cell>
          <cell r="AP108">
            <v>5</v>
          </cell>
          <cell r="AW108">
            <v>1</v>
          </cell>
        </row>
        <row r="109">
          <cell r="D109" t="str">
            <v>A21500091</v>
          </cell>
          <cell r="E109" t="str">
            <v>Joanna</v>
          </cell>
          <cell r="F109" t="str">
            <v>Nazar</v>
          </cell>
          <cell r="G109" t="str">
            <v>Majeed</v>
          </cell>
          <cell r="H109" t="str">
            <v>Female</v>
          </cell>
          <cell r="I109">
            <v>1996</v>
          </cell>
          <cell r="J109" t="str">
            <v>Kurdish</v>
          </cell>
          <cell r="K109">
            <v>7503686803</v>
          </cell>
          <cell r="L109">
            <v>7504889947</v>
          </cell>
          <cell r="N109" t="str">
            <v>No</v>
          </cell>
          <cell r="O109" t="str">
            <v>No</v>
          </cell>
          <cell r="P109" t="str">
            <v>Local</v>
          </cell>
          <cell r="Q109" t="str">
            <v>First Year</v>
          </cell>
          <cell r="R109" t="str">
            <v>Regular</v>
          </cell>
          <cell r="T109" t="str">
            <v>Accepted</v>
          </cell>
          <cell r="U109">
            <v>0</v>
          </cell>
          <cell r="V109" t="str">
            <v>Spring</v>
          </cell>
          <cell r="W109">
            <v>2015</v>
          </cell>
          <cell r="X109" t="str">
            <v>Spring</v>
          </cell>
          <cell r="Y109">
            <v>2015</v>
          </cell>
          <cell r="Z109" t="str">
            <v>High School</v>
          </cell>
          <cell r="AA109">
            <v>2014</v>
          </cell>
          <cell r="AB109">
            <v>1</v>
          </cell>
          <cell r="AC109">
            <v>1</v>
          </cell>
          <cell r="AD109" t="str">
            <v>Science</v>
          </cell>
          <cell r="AE109" t="str">
            <v>Dowa Kurd</v>
          </cell>
          <cell r="AF109" t="str">
            <v>Duhok</v>
          </cell>
          <cell r="AG109" t="str">
            <v>K.R.O</v>
          </cell>
          <cell r="AH109">
            <v>68</v>
          </cell>
          <cell r="AK109">
            <v>68</v>
          </cell>
          <cell r="AM109">
            <v>68</v>
          </cell>
          <cell r="AP109">
            <v>6</v>
          </cell>
          <cell r="BJ109">
            <v>1</v>
          </cell>
        </row>
        <row r="110">
          <cell r="D110" t="str">
            <v>N/A</v>
          </cell>
          <cell r="E110" t="str">
            <v>Zavan</v>
          </cell>
          <cell r="F110" t="str">
            <v>Qader</v>
          </cell>
          <cell r="G110" t="str">
            <v>Hasan</v>
          </cell>
          <cell r="H110" t="str">
            <v>Male</v>
          </cell>
          <cell r="J110" t="str">
            <v>Kurdish</v>
          </cell>
          <cell r="K110">
            <v>7504490769</v>
          </cell>
          <cell r="L110">
            <v>7504570666</v>
          </cell>
          <cell r="T110" t="str">
            <v>Pending</v>
          </cell>
          <cell r="V110" t="str">
            <v>Spring</v>
          </cell>
          <cell r="W110">
            <v>2015</v>
          </cell>
          <cell r="AH110">
            <v>55</v>
          </cell>
          <cell r="AK110">
            <v>55</v>
          </cell>
          <cell r="AM110">
            <v>55</v>
          </cell>
          <cell r="AZ110">
            <v>3</v>
          </cell>
          <cell r="BB110">
            <v>1</v>
          </cell>
          <cell r="BG110">
            <v>2</v>
          </cell>
        </row>
        <row r="111">
          <cell r="D111" t="str">
            <v>A21500037</v>
          </cell>
          <cell r="E111" t="str">
            <v>Alan</v>
          </cell>
          <cell r="F111" t="str">
            <v>Waseem</v>
          </cell>
          <cell r="G111" t="str">
            <v>Kanoon</v>
          </cell>
          <cell r="H111" t="str">
            <v>Male</v>
          </cell>
          <cell r="I111">
            <v>1996</v>
          </cell>
          <cell r="J111" t="str">
            <v>Kurdish</v>
          </cell>
          <cell r="K111">
            <v>7501808169</v>
          </cell>
          <cell r="L111">
            <v>7504885253</v>
          </cell>
          <cell r="N111" t="str">
            <v>No</v>
          </cell>
          <cell r="O111" t="str">
            <v>No</v>
          </cell>
          <cell r="P111" t="str">
            <v>Local</v>
          </cell>
          <cell r="Q111" t="str">
            <v>First Year</v>
          </cell>
          <cell r="R111" t="str">
            <v>Regular</v>
          </cell>
          <cell r="T111" t="str">
            <v>Accepted</v>
          </cell>
          <cell r="U111">
            <v>0</v>
          </cell>
          <cell r="V111" t="str">
            <v>Spring</v>
          </cell>
          <cell r="W111">
            <v>2015</v>
          </cell>
          <cell r="X111" t="str">
            <v>Spring</v>
          </cell>
          <cell r="Y111">
            <v>2015</v>
          </cell>
          <cell r="Z111" t="str">
            <v>High School</v>
          </cell>
          <cell r="AA111">
            <v>2014</v>
          </cell>
          <cell r="AE111" t="str">
            <v>Taakhi</v>
          </cell>
          <cell r="AF111" t="str">
            <v>Duhok</v>
          </cell>
          <cell r="AG111" t="str">
            <v>Malta</v>
          </cell>
          <cell r="AH111">
            <v>64</v>
          </cell>
          <cell r="AK111">
            <v>64</v>
          </cell>
          <cell r="AM111">
            <v>64</v>
          </cell>
          <cell r="AP111">
            <v>6</v>
          </cell>
          <cell r="AQ111">
            <v>1</v>
          </cell>
        </row>
        <row r="112">
          <cell r="D112" t="str">
            <v>A21500081</v>
          </cell>
          <cell r="E112" t="str">
            <v>Nojdar</v>
          </cell>
          <cell r="F112" t="str">
            <v>Ameen</v>
          </cell>
          <cell r="G112" t="str">
            <v>Othman</v>
          </cell>
          <cell r="H112" t="str">
            <v>Male</v>
          </cell>
          <cell r="I112">
            <v>1994</v>
          </cell>
          <cell r="J112" t="str">
            <v>Kurdish</v>
          </cell>
          <cell r="K112">
            <v>7504409361</v>
          </cell>
          <cell r="L112">
            <v>7503800755</v>
          </cell>
          <cell r="N112" t="str">
            <v>No</v>
          </cell>
          <cell r="O112" t="str">
            <v>No</v>
          </cell>
          <cell r="P112" t="str">
            <v>Local</v>
          </cell>
          <cell r="Q112" t="str">
            <v>First Year</v>
          </cell>
          <cell r="R112" t="str">
            <v>Political Prisoner</v>
          </cell>
          <cell r="T112" t="str">
            <v>Accepted</v>
          </cell>
          <cell r="U112">
            <v>0</v>
          </cell>
          <cell r="V112" t="str">
            <v>Spring</v>
          </cell>
          <cell r="W112">
            <v>2015</v>
          </cell>
          <cell r="X112" t="str">
            <v>Spring</v>
          </cell>
          <cell r="Y112">
            <v>2015</v>
          </cell>
          <cell r="Z112" t="str">
            <v>High School</v>
          </cell>
          <cell r="AA112">
            <v>2014</v>
          </cell>
          <cell r="AB112">
            <v>2</v>
          </cell>
          <cell r="AC112">
            <v>2</v>
          </cell>
          <cell r="AD112" t="str">
            <v>Sciences</v>
          </cell>
          <cell r="AE112" t="str">
            <v>Dowa Kurd</v>
          </cell>
          <cell r="AF112" t="str">
            <v>Duhok</v>
          </cell>
          <cell r="AG112" t="str">
            <v>Mitran st.Shindokha</v>
          </cell>
          <cell r="AH112">
            <v>60</v>
          </cell>
          <cell r="AK112">
            <v>60</v>
          </cell>
          <cell r="AM112">
            <v>60</v>
          </cell>
          <cell r="AP112">
            <v>6</v>
          </cell>
          <cell r="AW112">
            <v>1</v>
          </cell>
          <cell r="BB112">
            <v>2</v>
          </cell>
          <cell r="BG112">
            <v>3</v>
          </cell>
        </row>
        <row r="113">
          <cell r="D113" t="str">
            <v>A21500060</v>
          </cell>
          <cell r="E113" t="str">
            <v>Kavin</v>
          </cell>
          <cell r="F113" t="str">
            <v>Rasheed</v>
          </cell>
          <cell r="G113" t="str">
            <v>Naamo</v>
          </cell>
          <cell r="H113" t="str">
            <v>Female</v>
          </cell>
          <cell r="I113">
            <v>1994</v>
          </cell>
          <cell r="J113" t="str">
            <v>Kurdish</v>
          </cell>
          <cell r="K113">
            <v>7512141213</v>
          </cell>
          <cell r="L113">
            <v>7504545413</v>
          </cell>
          <cell r="N113" t="str">
            <v>No</v>
          </cell>
          <cell r="O113" t="str">
            <v>No</v>
          </cell>
          <cell r="P113" t="str">
            <v>Local</v>
          </cell>
          <cell r="Q113" t="str">
            <v>First Year</v>
          </cell>
          <cell r="R113" t="str">
            <v>Regular</v>
          </cell>
          <cell r="T113" t="str">
            <v>Accepted</v>
          </cell>
          <cell r="U113">
            <v>0</v>
          </cell>
          <cell r="V113" t="str">
            <v>Spring</v>
          </cell>
          <cell r="W113">
            <v>2015</v>
          </cell>
          <cell r="X113" t="str">
            <v>Spring</v>
          </cell>
          <cell r="Y113">
            <v>2015</v>
          </cell>
          <cell r="Z113" t="str">
            <v>High School</v>
          </cell>
          <cell r="AA113">
            <v>2014</v>
          </cell>
          <cell r="AB113">
            <v>1</v>
          </cell>
          <cell r="AC113">
            <v>2</v>
          </cell>
          <cell r="AD113" t="str">
            <v>Arts</v>
          </cell>
          <cell r="AE113" t="str">
            <v>Duhok</v>
          </cell>
          <cell r="AF113" t="str">
            <v>Duhok</v>
          </cell>
          <cell r="AG113" t="str">
            <v>Grebase</v>
          </cell>
          <cell r="AH113">
            <v>54</v>
          </cell>
          <cell r="AK113">
            <v>54</v>
          </cell>
          <cell r="AM113">
            <v>54</v>
          </cell>
          <cell r="AP113">
            <v>3</v>
          </cell>
          <cell r="BG113">
            <v>1</v>
          </cell>
        </row>
        <row r="114">
          <cell r="D114" t="str">
            <v>A21500062</v>
          </cell>
          <cell r="E114" t="str">
            <v>Fatima</v>
          </cell>
          <cell r="F114" t="str">
            <v>Khorsheed</v>
          </cell>
          <cell r="G114" t="str">
            <v>Tawfeeq</v>
          </cell>
          <cell r="H114" t="str">
            <v>Female</v>
          </cell>
          <cell r="J114" t="str">
            <v>Kurdish</v>
          </cell>
          <cell r="K114">
            <v>7504670522</v>
          </cell>
          <cell r="L114">
            <v>7504455274</v>
          </cell>
          <cell r="P114" t="str">
            <v>Local</v>
          </cell>
          <cell r="T114" t="str">
            <v>Accepted</v>
          </cell>
          <cell r="U114">
            <v>0</v>
          </cell>
          <cell r="V114" t="str">
            <v>Spring</v>
          </cell>
          <cell r="W114">
            <v>2015</v>
          </cell>
          <cell r="AH114">
            <v>62</v>
          </cell>
          <cell r="AK114">
            <v>62</v>
          </cell>
          <cell r="AM114">
            <v>62</v>
          </cell>
          <cell r="AP114">
            <v>2</v>
          </cell>
          <cell r="AW114">
            <v>2</v>
          </cell>
          <cell r="BG114">
            <v>1</v>
          </cell>
        </row>
        <row r="115">
          <cell r="D115" t="str">
            <v>A21500027</v>
          </cell>
          <cell r="E115" t="str">
            <v>Kavin</v>
          </cell>
          <cell r="F115" t="str">
            <v>Shawkat</v>
          </cell>
          <cell r="G115" t="str">
            <v>Taha</v>
          </cell>
          <cell r="H115" t="str">
            <v>Female</v>
          </cell>
          <cell r="I115">
            <v>1996</v>
          </cell>
          <cell r="J115" t="str">
            <v>Kurdish</v>
          </cell>
          <cell r="K115">
            <v>7504506118</v>
          </cell>
          <cell r="L115">
            <v>7502306118</v>
          </cell>
          <cell r="N115" t="str">
            <v>No</v>
          </cell>
          <cell r="O115" t="str">
            <v>No</v>
          </cell>
          <cell r="P115" t="str">
            <v>Local</v>
          </cell>
          <cell r="Q115" t="str">
            <v>First Year</v>
          </cell>
          <cell r="R115" t="str">
            <v>Regular</v>
          </cell>
          <cell r="T115" t="str">
            <v>Accepted</v>
          </cell>
          <cell r="U115">
            <v>0</v>
          </cell>
          <cell r="V115" t="str">
            <v>Spring</v>
          </cell>
          <cell r="W115">
            <v>2015</v>
          </cell>
          <cell r="X115" t="str">
            <v>Spring</v>
          </cell>
          <cell r="Y115">
            <v>2015</v>
          </cell>
          <cell r="Z115" t="str">
            <v>High School</v>
          </cell>
          <cell r="AA115">
            <v>2014</v>
          </cell>
          <cell r="AE115" t="str">
            <v>Duhok</v>
          </cell>
          <cell r="AF115" t="str">
            <v>Duhok</v>
          </cell>
          <cell r="AH115">
            <v>60</v>
          </cell>
          <cell r="AK115">
            <v>60</v>
          </cell>
          <cell r="AM115">
            <v>60</v>
          </cell>
          <cell r="AP115">
            <v>3</v>
          </cell>
          <cell r="AQ115">
            <v>1</v>
          </cell>
        </row>
        <row r="116">
          <cell r="D116" t="str">
            <v>A21500026</v>
          </cell>
          <cell r="E116" t="str">
            <v>Ahmed</v>
          </cell>
          <cell r="F116" t="str">
            <v>Ramzi</v>
          </cell>
          <cell r="G116" t="str">
            <v>Abdulrahman</v>
          </cell>
          <cell r="H116" t="str">
            <v>Male</v>
          </cell>
          <cell r="I116">
            <v>1993</v>
          </cell>
          <cell r="J116" t="str">
            <v>Kurdish</v>
          </cell>
          <cell r="K116">
            <v>7503113355</v>
          </cell>
          <cell r="L116">
            <v>7503113354</v>
          </cell>
          <cell r="N116" t="str">
            <v>No</v>
          </cell>
          <cell r="O116" t="str">
            <v>No</v>
          </cell>
          <cell r="P116" t="str">
            <v>Local</v>
          </cell>
          <cell r="Q116" t="str">
            <v>First Year</v>
          </cell>
          <cell r="R116" t="str">
            <v>Regular</v>
          </cell>
          <cell r="T116" t="str">
            <v>Accepted</v>
          </cell>
          <cell r="U116">
            <v>0</v>
          </cell>
          <cell r="V116" t="str">
            <v>Spring</v>
          </cell>
          <cell r="W116">
            <v>2015</v>
          </cell>
          <cell r="X116" t="str">
            <v>Spring</v>
          </cell>
          <cell r="Y116">
            <v>2015</v>
          </cell>
          <cell r="Z116" t="str">
            <v>High School</v>
          </cell>
          <cell r="AA116">
            <v>2014</v>
          </cell>
          <cell r="AB116">
            <v>2</v>
          </cell>
          <cell r="AC116">
            <v>2</v>
          </cell>
          <cell r="AD116" t="str">
            <v>Arts</v>
          </cell>
          <cell r="AE116" t="str">
            <v>Klee</v>
          </cell>
          <cell r="AF116" t="str">
            <v>Zakho</v>
          </cell>
          <cell r="AG116" t="str">
            <v>Abasike</v>
          </cell>
          <cell r="AH116">
            <v>59</v>
          </cell>
          <cell r="AK116">
            <v>59</v>
          </cell>
          <cell r="AM116">
            <v>59</v>
          </cell>
          <cell r="AP116">
            <v>5</v>
          </cell>
          <cell r="BG116">
            <v>1</v>
          </cell>
          <cell r="BJ116">
            <v>2</v>
          </cell>
        </row>
        <row r="117">
          <cell r="D117" t="str">
            <v>00000114</v>
          </cell>
          <cell r="E117" t="str">
            <v>Beri</v>
          </cell>
          <cell r="F117" t="str">
            <v>Nazar</v>
          </cell>
          <cell r="G117" t="str">
            <v>Mohammed</v>
          </cell>
          <cell r="H117" t="str">
            <v>Female</v>
          </cell>
          <cell r="I117">
            <v>1995</v>
          </cell>
          <cell r="J117" t="str">
            <v>Kurdish</v>
          </cell>
          <cell r="K117">
            <v>7503757757</v>
          </cell>
          <cell r="L117">
            <v>7501340597</v>
          </cell>
          <cell r="P117" t="str">
            <v>Local</v>
          </cell>
          <cell r="T117" t="str">
            <v>Accepted</v>
          </cell>
          <cell r="U117" t="str">
            <v>Withdraw</v>
          </cell>
          <cell r="V117" t="str">
            <v>Spring</v>
          </cell>
          <cell r="W117">
            <v>2015</v>
          </cell>
          <cell r="AF117" t="str">
            <v>Duhok</v>
          </cell>
          <cell r="AH117">
            <v>63</v>
          </cell>
          <cell r="AK117">
            <v>63</v>
          </cell>
          <cell r="AM117">
            <v>63</v>
          </cell>
          <cell r="AP117">
            <v>6</v>
          </cell>
          <cell r="BJ117">
            <v>1</v>
          </cell>
        </row>
        <row r="118">
          <cell r="D118" t="str">
            <v>00000115</v>
          </cell>
          <cell r="E118" t="str">
            <v>Bilan</v>
          </cell>
          <cell r="F118" t="str">
            <v>Burhan</v>
          </cell>
          <cell r="G118" t="str">
            <v>Mohammed</v>
          </cell>
          <cell r="H118" t="str">
            <v>Male</v>
          </cell>
          <cell r="I118">
            <v>1994</v>
          </cell>
          <cell r="J118" t="str">
            <v>Kurdish</v>
          </cell>
          <cell r="K118">
            <v>7504938714</v>
          </cell>
          <cell r="L118">
            <v>7504551534</v>
          </cell>
          <cell r="P118" t="str">
            <v>Local</v>
          </cell>
          <cell r="T118" t="str">
            <v>Accepted</v>
          </cell>
          <cell r="U118" t="str">
            <v>Withdraw</v>
          </cell>
          <cell r="V118" t="str">
            <v>Spring</v>
          </cell>
          <cell r="W118">
            <v>2015</v>
          </cell>
          <cell r="AH118">
            <v>63</v>
          </cell>
          <cell r="AK118">
            <v>63</v>
          </cell>
          <cell r="AM118">
            <v>63</v>
          </cell>
          <cell r="AP118">
            <v>3</v>
          </cell>
          <cell r="AZ118">
            <v>1</v>
          </cell>
          <cell r="BB118">
            <v>2</v>
          </cell>
        </row>
        <row r="119">
          <cell r="D119" t="str">
            <v>A21500083</v>
          </cell>
          <cell r="E119" t="str">
            <v>Abdullah</v>
          </cell>
          <cell r="F119" t="str">
            <v>Noradeen</v>
          </cell>
          <cell r="G119" t="str">
            <v>Abdullah</v>
          </cell>
          <cell r="H119" t="str">
            <v>Male</v>
          </cell>
          <cell r="I119">
            <v>1995</v>
          </cell>
          <cell r="J119" t="str">
            <v>Kurdish</v>
          </cell>
          <cell r="K119">
            <v>7504433339</v>
          </cell>
          <cell r="L119">
            <v>7504508593</v>
          </cell>
          <cell r="M119" t="str">
            <v>norkettaneh@yahoo.com</v>
          </cell>
          <cell r="N119" t="str">
            <v>No</v>
          </cell>
          <cell r="O119" t="str">
            <v>No</v>
          </cell>
          <cell r="P119" t="str">
            <v>Local</v>
          </cell>
          <cell r="Q119" t="str">
            <v>First Year</v>
          </cell>
          <cell r="R119" t="str">
            <v>Regular</v>
          </cell>
          <cell r="T119" t="str">
            <v>Accepted</v>
          </cell>
          <cell r="U119">
            <v>0</v>
          </cell>
          <cell r="V119" t="str">
            <v>Spring</v>
          </cell>
          <cell r="W119">
            <v>2015</v>
          </cell>
          <cell r="X119" t="str">
            <v>Spring</v>
          </cell>
          <cell r="Y119">
            <v>2015</v>
          </cell>
          <cell r="Z119" t="str">
            <v>High School</v>
          </cell>
          <cell r="AA119">
            <v>2014</v>
          </cell>
          <cell r="AB119">
            <v>1</v>
          </cell>
          <cell r="AC119">
            <v>2</v>
          </cell>
          <cell r="AD119" t="str">
            <v>Science</v>
          </cell>
          <cell r="AE119" t="str">
            <v>Duhok International</v>
          </cell>
          <cell r="AF119" t="str">
            <v>Duhok</v>
          </cell>
          <cell r="AG119" t="str">
            <v>Shndokha</v>
          </cell>
          <cell r="AH119">
            <v>69</v>
          </cell>
          <cell r="AK119">
            <v>69</v>
          </cell>
          <cell r="AM119">
            <v>69</v>
          </cell>
          <cell r="AN119" t="str">
            <v>50</v>
          </cell>
          <cell r="AP119">
            <v>6</v>
          </cell>
          <cell r="BI119">
            <v>3</v>
          </cell>
          <cell r="BJ119">
            <v>1</v>
          </cell>
          <cell r="BK119">
            <v>2</v>
          </cell>
        </row>
        <row r="120">
          <cell r="D120" t="str">
            <v>N/A</v>
          </cell>
          <cell r="E120" t="str">
            <v>Tareq</v>
          </cell>
          <cell r="F120" t="str">
            <v>Jafar</v>
          </cell>
          <cell r="G120" t="str">
            <v>Muhammed</v>
          </cell>
          <cell r="H120" t="str">
            <v>Male</v>
          </cell>
          <cell r="J120" t="str">
            <v>Kurdish</v>
          </cell>
          <cell r="K120">
            <v>7504829606</v>
          </cell>
          <cell r="T120" t="str">
            <v>Pending</v>
          </cell>
          <cell r="U120" t="str">
            <v>Not Accepted</v>
          </cell>
          <cell r="V120" t="str">
            <v>Spring</v>
          </cell>
          <cell r="W120">
            <v>2015</v>
          </cell>
          <cell r="AK120">
            <v>0</v>
          </cell>
          <cell r="AM120">
            <v>0</v>
          </cell>
          <cell r="AP120">
            <v>6</v>
          </cell>
        </row>
        <row r="121">
          <cell r="D121" t="str">
            <v>A21500021</v>
          </cell>
          <cell r="E121" t="str">
            <v>Bland</v>
          </cell>
          <cell r="F121" t="str">
            <v>Habeeb</v>
          </cell>
          <cell r="G121" t="str">
            <v>Sulaiman</v>
          </cell>
          <cell r="H121" t="str">
            <v>Male</v>
          </cell>
          <cell r="I121">
            <v>1996</v>
          </cell>
          <cell r="J121" t="str">
            <v>Kurdish</v>
          </cell>
          <cell r="K121">
            <v>7504697136</v>
          </cell>
          <cell r="L121" t="str">
            <v>0750 4457136</v>
          </cell>
          <cell r="N121" t="str">
            <v>No</v>
          </cell>
          <cell r="O121" t="str">
            <v>No</v>
          </cell>
          <cell r="P121" t="str">
            <v>Local</v>
          </cell>
          <cell r="Q121" t="str">
            <v>First Year</v>
          </cell>
          <cell r="R121" t="str">
            <v>Regular</v>
          </cell>
          <cell r="T121" t="str">
            <v>Accepted</v>
          </cell>
          <cell r="U121">
            <v>0</v>
          </cell>
          <cell r="V121" t="str">
            <v>Spring</v>
          </cell>
          <cell r="W121">
            <v>2015</v>
          </cell>
          <cell r="X121" t="str">
            <v>Spring</v>
          </cell>
          <cell r="Y121">
            <v>2015</v>
          </cell>
          <cell r="Z121" t="str">
            <v>High School</v>
          </cell>
          <cell r="AA121">
            <v>2014</v>
          </cell>
          <cell r="AB121">
            <v>1</v>
          </cell>
          <cell r="AC121">
            <v>2</v>
          </cell>
          <cell r="AD121" t="str">
            <v>Science</v>
          </cell>
          <cell r="AE121" t="str">
            <v>Brayte</v>
          </cell>
          <cell r="AF121" t="str">
            <v>Duhok</v>
          </cell>
          <cell r="AG121" t="str">
            <v>Malta</v>
          </cell>
          <cell r="AH121">
            <v>55.4</v>
          </cell>
          <cell r="AK121">
            <v>55.4</v>
          </cell>
          <cell r="AM121">
            <v>55.4</v>
          </cell>
          <cell r="AP121">
            <v>4</v>
          </cell>
          <cell r="BB121">
            <v>1</v>
          </cell>
        </row>
        <row r="122">
          <cell r="D122" t="str">
            <v>N/A</v>
          </cell>
          <cell r="E122" t="str">
            <v>Salma</v>
          </cell>
          <cell r="F122" t="str">
            <v>Mahmood</v>
          </cell>
          <cell r="G122" t="str">
            <v>Umar</v>
          </cell>
          <cell r="H122" t="str">
            <v>Female</v>
          </cell>
          <cell r="J122" t="str">
            <v>Kurdish</v>
          </cell>
          <cell r="K122">
            <v>7504211232</v>
          </cell>
          <cell r="L122">
            <v>7507888851</v>
          </cell>
          <cell r="T122" t="str">
            <v>Pending</v>
          </cell>
          <cell r="V122" t="str">
            <v>Spring</v>
          </cell>
          <cell r="W122">
            <v>2015</v>
          </cell>
          <cell r="AH122">
            <v>53</v>
          </cell>
          <cell r="AK122">
            <v>53</v>
          </cell>
          <cell r="AM122">
            <v>53</v>
          </cell>
        </row>
        <row r="123">
          <cell r="D123" t="str">
            <v>A21500013</v>
          </cell>
          <cell r="E123" t="str">
            <v>Berivan</v>
          </cell>
          <cell r="F123" t="str">
            <v>Jameel</v>
          </cell>
          <cell r="G123" t="str">
            <v>Othman</v>
          </cell>
          <cell r="H123" t="str">
            <v>Female</v>
          </cell>
          <cell r="I123">
            <v>1995</v>
          </cell>
          <cell r="J123" t="str">
            <v>Kurdish</v>
          </cell>
          <cell r="K123">
            <v>7504544935</v>
          </cell>
          <cell r="L123">
            <v>7504386097</v>
          </cell>
          <cell r="N123" t="str">
            <v>No</v>
          </cell>
          <cell r="O123" t="str">
            <v>No</v>
          </cell>
          <cell r="P123" t="str">
            <v>Local</v>
          </cell>
          <cell r="Q123" t="str">
            <v>First Year</v>
          </cell>
          <cell r="R123" t="str">
            <v>Regular</v>
          </cell>
          <cell r="T123" t="str">
            <v>Accepted</v>
          </cell>
          <cell r="U123">
            <v>0</v>
          </cell>
          <cell r="V123" t="str">
            <v>Spring</v>
          </cell>
          <cell r="W123">
            <v>2015</v>
          </cell>
          <cell r="X123" t="str">
            <v>Spring</v>
          </cell>
          <cell r="Y123">
            <v>2015</v>
          </cell>
          <cell r="Z123" t="str">
            <v>High School</v>
          </cell>
          <cell r="AA123">
            <v>2014</v>
          </cell>
          <cell r="AE123" t="str">
            <v>Bizhara</v>
          </cell>
          <cell r="AF123" t="str">
            <v>Duhok</v>
          </cell>
          <cell r="AG123" t="str">
            <v>Shndokha</v>
          </cell>
          <cell r="AH123">
            <v>63.7</v>
          </cell>
          <cell r="AK123">
            <v>63.7</v>
          </cell>
          <cell r="AM123">
            <v>63.7</v>
          </cell>
          <cell r="AP123">
            <v>6</v>
          </cell>
          <cell r="AQ123">
            <v>3</v>
          </cell>
          <cell r="AS123">
            <v>1</v>
          </cell>
          <cell r="AW123">
            <v>2</v>
          </cell>
        </row>
        <row r="124">
          <cell r="D124" t="str">
            <v>A21500082</v>
          </cell>
          <cell r="E124" t="str">
            <v>Mohammed</v>
          </cell>
          <cell r="F124" t="str">
            <v>Ali</v>
          </cell>
          <cell r="G124" t="str">
            <v>Mohammed</v>
          </cell>
          <cell r="H124" t="str">
            <v>Male</v>
          </cell>
          <cell r="I124">
            <v>1992</v>
          </cell>
          <cell r="J124" t="str">
            <v>Kurdish</v>
          </cell>
          <cell r="K124">
            <v>7504517861</v>
          </cell>
          <cell r="L124">
            <v>7504502977</v>
          </cell>
          <cell r="N124" t="str">
            <v>No</v>
          </cell>
          <cell r="O124" t="str">
            <v>No</v>
          </cell>
          <cell r="P124" t="str">
            <v>Local</v>
          </cell>
          <cell r="Q124" t="str">
            <v>First Year</v>
          </cell>
          <cell r="R124" t="str">
            <v>Regular</v>
          </cell>
          <cell r="T124" t="str">
            <v>Accepted</v>
          </cell>
          <cell r="U124">
            <v>0</v>
          </cell>
          <cell r="V124" t="str">
            <v>Spring</v>
          </cell>
          <cell r="W124">
            <v>2015</v>
          </cell>
          <cell r="X124" t="str">
            <v>Spring</v>
          </cell>
          <cell r="Y124">
            <v>2015</v>
          </cell>
          <cell r="Z124" t="str">
            <v>High School</v>
          </cell>
          <cell r="AA124">
            <v>2014</v>
          </cell>
          <cell r="AB124">
            <v>1</v>
          </cell>
          <cell r="AC124">
            <v>1</v>
          </cell>
          <cell r="AD124" t="str">
            <v>Arts</v>
          </cell>
          <cell r="AE124" t="str">
            <v>Home School</v>
          </cell>
          <cell r="AF124" t="str">
            <v>Duhok</v>
          </cell>
          <cell r="AG124" t="str">
            <v>Segrka</v>
          </cell>
          <cell r="AH124">
            <v>61.7</v>
          </cell>
          <cell r="AK124">
            <v>61.7</v>
          </cell>
          <cell r="AM124">
            <v>61.7</v>
          </cell>
          <cell r="AP124">
            <v>2</v>
          </cell>
          <cell r="AZ124">
            <v>1</v>
          </cell>
        </row>
        <row r="125">
          <cell r="D125" t="str">
            <v>00000122</v>
          </cell>
          <cell r="E125" t="str">
            <v>Kawar</v>
          </cell>
          <cell r="F125" t="str">
            <v>Salam</v>
          </cell>
          <cell r="G125" t="str">
            <v>Haji</v>
          </cell>
          <cell r="H125" t="str">
            <v>Male</v>
          </cell>
          <cell r="I125">
            <v>1991</v>
          </cell>
          <cell r="J125" t="str">
            <v>Kurdish</v>
          </cell>
          <cell r="K125">
            <v>7503153333</v>
          </cell>
          <cell r="L125">
            <v>7507408484</v>
          </cell>
          <cell r="P125" t="str">
            <v>Local</v>
          </cell>
          <cell r="T125" t="str">
            <v>Accepted</v>
          </cell>
          <cell r="U125" t="str">
            <v>Freeze</v>
          </cell>
          <cell r="V125" t="str">
            <v>Spring</v>
          </cell>
          <cell r="W125">
            <v>2015</v>
          </cell>
          <cell r="AH125">
            <v>55</v>
          </cell>
          <cell r="AK125">
            <v>55</v>
          </cell>
          <cell r="AM125">
            <v>55</v>
          </cell>
          <cell r="AP125">
            <v>6</v>
          </cell>
          <cell r="BB125">
            <v>1</v>
          </cell>
          <cell r="BF125">
            <v>3</v>
          </cell>
          <cell r="BG125">
            <v>2</v>
          </cell>
        </row>
        <row r="126">
          <cell r="D126" t="str">
            <v>N/A</v>
          </cell>
          <cell r="E126" t="str">
            <v>Zina</v>
          </cell>
          <cell r="F126" t="str">
            <v>Bibo</v>
          </cell>
          <cell r="G126" t="str">
            <v>Silo</v>
          </cell>
          <cell r="H126" t="str">
            <v>Female</v>
          </cell>
          <cell r="J126" t="str">
            <v>Kurdish</v>
          </cell>
          <cell r="K126">
            <v>7508508441</v>
          </cell>
          <cell r="T126" t="str">
            <v>Pending</v>
          </cell>
          <cell r="V126" t="str">
            <v>Spring</v>
          </cell>
          <cell r="W126">
            <v>2015</v>
          </cell>
          <cell r="AK126">
            <v>0</v>
          </cell>
          <cell r="AM126">
            <v>0</v>
          </cell>
          <cell r="AP126">
            <v>5</v>
          </cell>
          <cell r="BD126">
            <v>1</v>
          </cell>
        </row>
        <row r="127">
          <cell r="D127" t="str">
            <v>A21500020</v>
          </cell>
          <cell r="E127" t="str">
            <v>Basam</v>
          </cell>
          <cell r="F127" t="str">
            <v>Sami</v>
          </cell>
          <cell r="G127" t="str">
            <v>Musheer</v>
          </cell>
          <cell r="H127" t="str">
            <v>Male</v>
          </cell>
          <cell r="I127">
            <v>1988</v>
          </cell>
          <cell r="J127" t="str">
            <v>Kurdish</v>
          </cell>
          <cell r="K127">
            <v>7508333383</v>
          </cell>
          <cell r="L127">
            <v>7504969489</v>
          </cell>
          <cell r="N127" t="str">
            <v>No</v>
          </cell>
          <cell r="O127" t="str">
            <v>No</v>
          </cell>
          <cell r="P127" t="str">
            <v>Local</v>
          </cell>
          <cell r="Q127" t="str">
            <v>Transfer</v>
          </cell>
          <cell r="R127" t="str">
            <v>Regular</v>
          </cell>
          <cell r="T127" t="str">
            <v>Accepted</v>
          </cell>
          <cell r="U127" t="str">
            <v>Freeze</v>
          </cell>
          <cell r="V127" t="str">
            <v>Spring</v>
          </cell>
          <cell r="W127">
            <v>2015</v>
          </cell>
          <cell r="X127" t="str">
            <v>Spring</v>
          </cell>
          <cell r="Y127">
            <v>2015</v>
          </cell>
          <cell r="Z127" t="str">
            <v>High School</v>
          </cell>
          <cell r="AA127">
            <v>2007</v>
          </cell>
          <cell r="AB127">
            <v>2</v>
          </cell>
          <cell r="AC127">
            <v>1</v>
          </cell>
          <cell r="AD127" t="str">
            <v>Science</v>
          </cell>
          <cell r="AE127" t="str">
            <v>Chra</v>
          </cell>
          <cell r="AF127" t="str">
            <v>Duhok</v>
          </cell>
          <cell r="AG127" t="str">
            <v>Dabin</v>
          </cell>
          <cell r="AH127">
            <v>70.400000000000006</v>
          </cell>
          <cell r="AK127">
            <v>70.400000000000006</v>
          </cell>
          <cell r="AM127">
            <v>70.400000000000006</v>
          </cell>
          <cell r="AP127">
            <v>6</v>
          </cell>
          <cell r="AT127">
            <v>1</v>
          </cell>
        </row>
        <row r="128">
          <cell r="D128" t="str">
            <v>A21500077</v>
          </cell>
          <cell r="E128" t="str">
            <v>Nisha</v>
          </cell>
          <cell r="F128" t="str">
            <v>Basim</v>
          </cell>
          <cell r="G128" t="str">
            <v>Yaqoob</v>
          </cell>
          <cell r="H128" t="str">
            <v>Male</v>
          </cell>
          <cell r="I128">
            <v>1997</v>
          </cell>
          <cell r="J128" t="str">
            <v>Kurdish</v>
          </cell>
          <cell r="K128">
            <v>7512267630</v>
          </cell>
          <cell r="M128" t="str">
            <v>nisha97bello@gmail.com</v>
          </cell>
          <cell r="N128" t="str">
            <v>Yes</v>
          </cell>
          <cell r="O128" t="str">
            <v>No</v>
          </cell>
          <cell r="P128" t="str">
            <v>Local</v>
          </cell>
          <cell r="Q128" t="str">
            <v>First Year</v>
          </cell>
          <cell r="R128" t="str">
            <v>Regular</v>
          </cell>
          <cell r="T128" t="str">
            <v>Accepted</v>
          </cell>
          <cell r="U128">
            <v>0</v>
          </cell>
          <cell r="V128" t="str">
            <v>Spring</v>
          </cell>
          <cell r="W128">
            <v>2015</v>
          </cell>
          <cell r="X128" t="str">
            <v>Spring</v>
          </cell>
          <cell r="Y128">
            <v>2015</v>
          </cell>
          <cell r="Z128" t="str">
            <v>High School</v>
          </cell>
          <cell r="AA128">
            <v>2014</v>
          </cell>
          <cell r="AB128">
            <v>1</v>
          </cell>
          <cell r="AC128">
            <v>2</v>
          </cell>
          <cell r="AD128">
            <v>2014</v>
          </cell>
          <cell r="AE128" t="str">
            <v>Alqosh</v>
          </cell>
          <cell r="AF128" t="str">
            <v>Alqosh</v>
          </cell>
          <cell r="AG128" t="str">
            <v>Mar Qradagh</v>
          </cell>
          <cell r="AH128">
            <v>72</v>
          </cell>
          <cell r="AK128">
            <v>72</v>
          </cell>
          <cell r="AM128">
            <v>72</v>
          </cell>
          <cell r="AP128">
            <v>5</v>
          </cell>
          <cell r="BG128">
            <v>1</v>
          </cell>
        </row>
        <row r="129">
          <cell r="D129" t="str">
            <v>A21500121</v>
          </cell>
          <cell r="E129" t="str">
            <v>Shahrivan</v>
          </cell>
          <cell r="F129" t="str">
            <v>Safaree</v>
          </cell>
          <cell r="G129" t="str">
            <v>Babakr</v>
          </cell>
          <cell r="H129" t="str">
            <v>Female</v>
          </cell>
          <cell r="I129">
            <v>1994</v>
          </cell>
          <cell r="J129" t="str">
            <v>Kurdish</v>
          </cell>
          <cell r="K129">
            <v>7503644020</v>
          </cell>
          <cell r="L129">
            <v>7507460808</v>
          </cell>
          <cell r="M129" t="str">
            <v>shahrivanbabakr@gmail.com</v>
          </cell>
          <cell r="N129" t="str">
            <v>Yes</v>
          </cell>
          <cell r="O129" t="str">
            <v>Yes</v>
          </cell>
          <cell r="P129" t="str">
            <v>Local</v>
          </cell>
          <cell r="Q129" t="str">
            <v>First Year</v>
          </cell>
          <cell r="R129" t="str">
            <v>Regular</v>
          </cell>
          <cell r="T129" t="str">
            <v>Accepted</v>
          </cell>
          <cell r="U129">
            <v>0</v>
          </cell>
          <cell r="V129" t="str">
            <v>Spring</v>
          </cell>
          <cell r="W129">
            <v>2015</v>
          </cell>
          <cell r="X129" t="str">
            <v>Spring</v>
          </cell>
          <cell r="Y129">
            <v>2015</v>
          </cell>
          <cell r="Z129" t="str">
            <v>High School</v>
          </cell>
          <cell r="AA129">
            <v>2012</v>
          </cell>
          <cell r="AE129" t="str">
            <v xml:space="preserve">Pamrga </v>
          </cell>
          <cell r="AF129" t="str">
            <v>Hawler</v>
          </cell>
          <cell r="AG129" t="str">
            <v>Baharkah</v>
          </cell>
          <cell r="AH129">
            <v>75.3</v>
          </cell>
          <cell r="AK129">
            <v>75.3</v>
          </cell>
          <cell r="AM129">
            <v>75.3</v>
          </cell>
          <cell r="AP129">
            <v>6</v>
          </cell>
          <cell r="AQ129">
            <v>1</v>
          </cell>
        </row>
        <row r="130">
          <cell r="D130" t="str">
            <v>A21500056</v>
          </cell>
          <cell r="E130" t="str">
            <v>Butan</v>
          </cell>
          <cell r="F130" t="str">
            <v>Sdqee</v>
          </cell>
          <cell r="G130" t="str">
            <v>Shuker</v>
          </cell>
          <cell r="H130" t="str">
            <v>Male</v>
          </cell>
          <cell r="I130">
            <v>1994</v>
          </cell>
          <cell r="J130" t="str">
            <v>Kurdish</v>
          </cell>
          <cell r="K130">
            <v>7504396063</v>
          </cell>
          <cell r="L130">
            <v>7504551370</v>
          </cell>
          <cell r="M130" t="str">
            <v>butansdqi.nerway@yahoo.com</v>
          </cell>
          <cell r="N130" t="str">
            <v>No</v>
          </cell>
          <cell r="O130" t="str">
            <v>No</v>
          </cell>
          <cell r="P130" t="str">
            <v>Local</v>
          </cell>
          <cell r="Q130" t="str">
            <v>First Year</v>
          </cell>
          <cell r="R130" t="str">
            <v>Martyr's Aid</v>
          </cell>
          <cell r="T130" t="str">
            <v>Accepted</v>
          </cell>
          <cell r="U130">
            <v>0</v>
          </cell>
          <cell r="V130" t="str">
            <v>Spring</v>
          </cell>
          <cell r="W130">
            <v>2015</v>
          </cell>
          <cell r="X130" t="str">
            <v>Spring</v>
          </cell>
          <cell r="Y130">
            <v>2015</v>
          </cell>
          <cell r="Z130" t="str">
            <v>High School</v>
          </cell>
          <cell r="AA130">
            <v>2013</v>
          </cell>
          <cell r="AB130">
            <v>2</v>
          </cell>
          <cell r="AC130">
            <v>2</v>
          </cell>
          <cell r="AD130" t="str">
            <v>Science</v>
          </cell>
          <cell r="AE130" t="str">
            <v>Deralok</v>
          </cell>
          <cell r="AF130" t="str">
            <v>Duhok</v>
          </cell>
          <cell r="AG130" t="str">
            <v>Haye Shrta</v>
          </cell>
          <cell r="AH130">
            <v>73.5</v>
          </cell>
          <cell r="AK130">
            <v>73.5</v>
          </cell>
          <cell r="AM130">
            <v>73.5</v>
          </cell>
          <cell r="AP130">
            <v>2</v>
          </cell>
          <cell r="AS130">
            <v>2</v>
          </cell>
          <cell r="BG130">
            <v>1</v>
          </cell>
          <cell r="BI130">
            <v>3</v>
          </cell>
        </row>
        <row r="131">
          <cell r="D131" t="str">
            <v>A21500120</v>
          </cell>
          <cell r="E131" t="str">
            <v>Zana</v>
          </cell>
          <cell r="F131" t="str">
            <v>Jalal</v>
          </cell>
          <cell r="G131" t="str">
            <v>Salih</v>
          </cell>
          <cell r="H131" t="str">
            <v>Male</v>
          </cell>
          <cell r="I131">
            <v>1996</v>
          </cell>
          <cell r="J131" t="str">
            <v>Kurdish</v>
          </cell>
          <cell r="K131">
            <v>7504406976</v>
          </cell>
          <cell r="L131">
            <v>7504784163</v>
          </cell>
          <cell r="N131" t="str">
            <v>No</v>
          </cell>
          <cell r="O131" t="str">
            <v>No</v>
          </cell>
          <cell r="P131" t="str">
            <v>Local</v>
          </cell>
          <cell r="Q131" t="str">
            <v>First Year</v>
          </cell>
          <cell r="R131" t="str">
            <v>Regular</v>
          </cell>
          <cell r="T131" t="str">
            <v>Accepted</v>
          </cell>
          <cell r="U131">
            <v>0</v>
          </cell>
          <cell r="V131" t="str">
            <v>Spring</v>
          </cell>
          <cell r="W131">
            <v>2015</v>
          </cell>
          <cell r="X131" t="str">
            <v>Spring</v>
          </cell>
          <cell r="Y131">
            <v>2015</v>
          </cell>
          <cell r="Z131" t="str">
            <v>High School</v>
          </cell>
          <cell r="AA131">
            <v>2014</v>
          </cell>
          <cell r="AB131">
            <v>2</v>
          </cell>
          <cell r="AC131">
            <v>1</v>
          </cell>
          <cell r="AD131" t="str">
            <v>Arts</v>
          </cell>
          <cell r="AE131" t="str">
            <v>Kawa</v>
          </cell>
          <cell r="AF131" t="str">
            <v>Duhok</v>
          </cell>
          <cell r="AG131" t="str">
            <v>K.R.O</v>
          </cell>
          <cell r="AH131">
            <v>56</v>
          </cell>
          <cell r="AK131">
            <v>56</v>
          </cell>
          <cell r="AM131">
            <v>56</v>
          </cell>
          <cell r="AP131">
            <v>1</v>
          </cell>
          <cell r="AZ131">
            <v>3</v>
          </cell>
          <cell r="BB131">
            <v>1</v>
          </cell>
          <cell r="BG131">
            <v>2</v>
          </cell>
        </row>
        <row r="132">
          <cell r="D132" t="str">
            <v>N/A</v>
          </cell>
          <cell r="E132" t="str">
            <v>Kawe</v>
          </cell>
          <cell r="F132" t="str">
            <v>Abdulkader</v>
          </cell>
          <cell r="G132" t="str">
            <v>Abdal</v>
          </cell>
          <cell r="H132" t="str">
            <v>Male</v>
          </cell>
          <cell r="J132" t="str">
            <v>Kurdish</v>
          </cell>
          <cell r="K132">
            <v>7504645183</v>
          </cell>
          <cell r="L132">
            <v>7504331051</v>
          </cell>
          <cell r="T132" t="str">
            <v>Pending</v>
          </cell>
          <cell r="U132" t="str">
            <v>Not Accepted</v>
          </cell>
          <cell r="V132" t="str">
            <v>Spring</v>
          </cell>
          <cell r="W132">
            <v>2015</v>
          </cell>
          <cell r="Y132">
            <v>2015</v>
          </cell>
          <cell r="AF132" t="str">
            <v>Duhok</v>
          </cell>
          <cell r="AG132" t="str">
            <v>Zari Land</v>
          </cell>
          <cell r="AH132">
            <v>73.3</v>
          </cell>
          <cell r="AK132">
            <v>73.3</v>
          </cell>
          <cell r="AM132">
            <v>73.3</v>
          </cell>
          <cell r="AP132">
            <v>3</v>
          </cell>
        </row>
        <row r="133">
          <cell r="D133" t="str">
            <v>A21500029</v>
          </cell>
          <cell r="E133" t="str">
            <v>Badal</v>
          </cell>
          <cell r="F133" t="str">
            <v>Khaleel</v>
          </cell>
          <cell r="G133" t="str">
            <v>Ali</v>
          </cell>
          <cell r="H133" t="str">
            <v>Male</v>
          </cell>
          <cell r="I133">
            <v>1991</v>
          </cell>
          <cell r="J133" t="str">
            <v>Kurdish</v>
          </cell>
          <cell r="K133">
            <v>7501991944</v>
          </cell>
          <cell r="L133">
            <v>7504296384</v>
          </cell>
          <cell r="M133" t="str">
            <v>badal.mayi@gmail.com</v>
          </cell>
          <cell r="N133" t="str">
            <v>Yes</v>
          </cell>
          <cell r="O133" t="str">
            <v>No</v>
          </cell>
          <cell r="P133" t="str">
            <v>Local</v>
          </cell>
          <cell r="Q133" t="str">
            <v>First Year</v>
          </cell>
          <cell r="R133" t="str">
            <v>Political Prisoner</v>
          </cell>
          <cell r="T133" t="str">
            <v>Accepted</v>
          </cell>
          <cell r="U133">
            <v>0</v>
          </cell>
          <cell r="V133" t="str">
            <v>Spring</v>
          </cell>
          <cell r="W133">
            <v>2015</v>
          </cell>
          <cell r="X133" t="str">
            <v>Spring</v>
          </cell>
          <cell r="Y133">
            <v>2015</v>
          </cell>
          <cell r="Z133" t="str">
            <v>High School</v>
          </cell>
          <cell r="AA133">
            <v>2014</v>
          </cell>
          <cell r="AB133">
            <v>1</v>
          </cell>
          <cell r="AC133">
            <v>1</v>
          </cell>
          <cell r="AD133" t="str">
            <v>Arts</v>
          </cell>
          <cell r="AE133" t="str">
            <v>Home School</v>
          </cell>
          <cell r="AF133" t="str">
            <v>Duhok</v>
          </cell>
          <cell r="AG133" t="str">
            <v>Shele</v>
          </cell>
          <cell r="AH133">
            <v>56</v>
          </cell>
          <cell r="AK133">
            <v>56</v>
          </cell>
          <cell r="AM133">
            <v>56</v>
          </cell>
          <cell r="AP133">
            <v>5</v>
          </cell>
          <cell r="AX133">
            <v>3</v>
          </cell>
          <cell r="BD133">
            <v>1</v>
          </cell>
          <cell r="BE133">
            <v>2</v>
          </cell>
        </row>
        <row r="134">
          <cell r="D134" t="str">
            <v>A21500007</v>
          </cell>
          <cell r="E134" t="str">
            <v>Aws</v>
          </cell>
          <cell r="F134" t="str">
            <v>Yazdeen</v>
          </cell>
          <cell r="G134" t="str">
            <v>Khider</v>
          </cell>
          <cell r="H134" t="str">
            <v>Male</v>
          </cell>
          <cell r="I134">
            <v>1995</v>
          </cell>
          <cell r="J134" t="str">
            <v>Kurdish</v>
          </cell>
          <cell r="K134">
            <v>7708264263</v>
          </cell>
          <cell r="L134">
            <v>7510344813</v>
          </cell>
          <cell r="M134" t="str">
            <v>awsdedo@yahoo.com</v>
          </cell>
          <cell r="N134" t="str">
            <v>No</v>
          </cell>
          <cell r="O134" t="str">
            <v>No</v>
          </cell>
          <cell r="P134" t="str">
            <v>Local</v>
          </cell>
          <cell r="Q134" t="str">
            <v>First Year</v>
          </cell>
          <cell r="R134" t="str">
            <v>Regular</v>
          </cell>
          <cell r="T134" t="str">
            <v>Accepted</v>
          </cell>
          <cell r="U134">
            <v>0</v>
          </cell>
          <cell r="V134" t="str">
            <v>Spring</v>
          </cell>
          <cell r="W134">
            <v>2015</v>
          </cell>
          <cell r="X134" t="str">
            <v>Spring</v>
          </cell>
          <cell r="Y134">
            <v>2015</v>
          </cell>
          <cell r="Z134" t="str">
            <v>High School</v>
          </cell>
          <cell r="AA134">
            <v>2014</v>
          </cell>
          <cell r="AB134">
            <v>1</v>
          </cell>
          <cell r="AC134">
            <v>3</v>
          </cell>
          <cell r="AD134" t="str">
            <v>Science</v>
          </cell>
          <cell r="AE134" t="str">
            <v>Baashiqa</v>
          </cell>
          <cell r="AF134" t="str">
            <v>Duhok</v>
          </cell>
          <cell r="AG134" t="str">
            <v>Masike 2</v>
          </cell>
          <cell r="AH134">
            <v>59</v>
          </cell>
          <cell r="AK134">
            <v>59</v>
          </cell>
          <cell r="AM134">
            <v>59</v>
          </cell>
          <cell r="AP134">
            <v>6</v>
          </cell>
          <cell r="BB134">
            <v>1</v>
          </cell>
        </row>
        <row r="135">
          <cell r="D135" t="str">
            <v>N/A</v>
          </cell>
          <cell r="E135" t="str">
            <v>Loubna</v>
          </cell>
          <cell r="F135" t="str">
            <v>Al-Mkawi</v>
          </cell>
          <cell r="G135" t="str">
            <v>Mahmoud</v>
          </cell>
          <cell r="H135" t="str">
            <v>Female</v>
          </cell>
          <cell r="J135" t="str">
            <v>Kurdish</v>
          </cell>
          <cell r="K135">
            <v>7502285970</v>
          </cell>
          <cell r="L135">
            <v>7716294077</v>
          </cell>
          <cell r="T135" t="str">
            <v>Pending</v>
          </cell>
          <cell r="V135" t="str">
            <v>Spring</v>
          </cell>
          <cell r="W135">
            <v>2015</v>
          </cell>
          <cell r="AF135" t="str">
            <v>Duhok</v>
          </cell>
          <cell r="AG135" t="str">
            <v>Avro City</v>
          </cell>
          <cell r="AK135">
            <v>0</v>
          </cell>
          <cell r="AM135">
            <v>0</v>
          </cell>
          <cell r="AP135">
            <v>6</v>
          </cell>
          <cell r="BI135">
            <v>2</v>
          </cell>
          <cell r="BJ135">
            <v>1</v>
          </cell>
          <cell r="BK135">
            <v>3</v>
          </cell>
        </row>
        <row r="136">
          <cell r="D136" t="str">
            <v>N/A</v>
          </cell>
          <cell r="E136" t="str">
            <v>Zirak</v>
          </cell>
          <cell r="F136" t="str">
            <v>Rajab</v>
          </cell>
          <cell r="H136" t="str">
            <v>Male</v>
          </cell>
          <cell r="J136" t="str">
            <v>Kurdish</v>
          </cell>
          <cell r="K136">
            <v>7503100566</v>
          </cell>
          <cell r="T136" t="str">
            <v>Pending</v>
          </cell>
          <cell r="V136" t="str">
            <v>Spring</v>
          </cell>
          <cell r="W136">
            <v>2015</v>
          </cell>
          <cell r="AF136" t="str">
            <v xml:space="preserve">Duhok </v>
          </cell>
          <cell r="AG136" t="str">
            <v>Baroshk</v>
          </cell>
          <cell r="AK136">
            <v>0</v>
          </cell>
          <cell r="AM136">
            <v>0</v>
          </cell>
        </row>
        <row r="137">
          <cell r="D137" t="str">
            <v>A21500054</v>
          </cell>
          <cell r="E137" t="str">
            <v>Sarko</v>
          </cell>
          <cell r="F137" t="str">
            <v>Ibrahim</v>
          </cell>
          <cell r="G137" t="str">
            <v>Ahmed</v>
          </cell>
          <cell r="H137" t="str">
            <v>Male</v>
          </cell>
          <cell r="I137">
            <v>1989</v>
          </cell>
          <cell r="J137" t="str">
            <v>Kurdish</v>
          </cell>
          <cell r="K137">
            <v>7703955252</v>
          </cell>
          <cell r="L137">
            <v>7701572439</v>
          </cell>
          <cell r="N137" t="str">
            <v>No</v>
          </cell>
          <cell r="O137" t="str">
            <v>No</v>
          </cell>
          <cell r="P137" t="str">
            <v>Local</v>
          </cell>
          <cell r="Q137" t="str">
            <v>First Year</v>
          </cell>
          <cell r="R137" t="str">
            <v>Regular</v>
          </cell>
          <cell r="T137" t="str">
            <v>Accepted</v>
          </cell>
          <cell r="U137" t="str">
            <v>Withdraw</v>
          </cell>
          <cell r="V137" t="str">
            <v>Spring</v>
          </cell>
          <cell r="W137">
            <v>2015</v>
          </cell>
          <cell r="X137" t="str">
            <v>Spring</v>
          </cell>
          <cell r="Y137">
            <v>2015</v>
          </cell>
          <cell r="Z137" t="str">
            <v>High School</v>
          </cell>
          <cell r="AA137">
            <v>2007</v>
          </cell>
          <cell r="AB137">
            <v>1</v>
          </cell>
          <cell r="AC137">
            <v>2</v>
          </cell>
          <cell r="AD137" t="str">
            <v>Science</v>
          </cell>
          <cell r="AE137" t="str">
            <v>Salahadeen</v>
          </cell>
          <cell r="AF137" t="str">
            <v>Sulaymani</v>
          </cell>
          <cell r="AG137" t="str">
            <v>New sulaymani</v>
          </cell>
          <cell r="AH137">
            <v>87</v>
          </cell>
          <cell r="AK137">
            <v>87</v>
          </cell>
          <cell r="AM137">
            <v>87</v>
          </cell>
          <cell r="AP137">
            <v>6</v>
          </cell>
          <cell r="AV137">
            <v>2</v>
          </cell>
          <cell r="AW137">
            <v>3</v>
          </cell>
          <cell r="BG137">
            <v>1</v>
          </cell>
        </row>
        <row r="138">
          <cell r="D138" t="str">
            <v>00000135</v>
          </cell>
          <cell r="E138" t="str">
            <v>Sagvan</v>
          </cell>
          <cell r="F138" t="str">
            <v>Mohammed</v>
          </cell>
          <cell r="G138" t="str">
            <v>Majeed</v>
          </cell>
          <cell r="H138" t="str">
            <v>Male</v>
          </cell>
          <cell r="I138">
            <v>1989</v>
          </cell>
          <cell r="J138" t="str">
            <v>Kurdish</v>
          </cell>
          <cell r="K138">
            <v>7504948563</v>
          </cell>
          <cell r="L138">
            <v>7510018283</v>
          </cell>
          <cell r="P138" t="str">
            <v>Local</v>
          </cell>
          <cell r="T138" t="str">
            <v>Accepted</v>
          </cell>
          <cell r="U138" t="str">
            <v>Withdraw</v>
          </cell>
          <cell r="V138" t="str">
            <v>Spring</v>
          </cell>
          <cell r="W138">
            <v>2015</v>
          </cell>
          <cell r="AF138" t="str">
            <v>Duhok</v>
          </cell>
          <cell r="AG138" t="str">
            <v>K.R.O</v>
          </cell>
          <cell r="AH138">
            <v>52.7</v>
          </cell>
          <cell r="AK138">
            <v>52.7</v>
          </cell>
          <cell r="AM138">
            <v>52.7</v>
          </cell>
          <cell r="AP138">
            <v>3</v>
          </cell>
          <cell r="BB138">
            <v>1</v>
          </cell>
        </row>
        <row r="139">
          <cell r="D139" t="str">
            <v>00000136</v>
          </cell>
          <cell r="E139" t="str">
            <v>Foziya</v>
          </cell>
          <cell r="F139" t="str">
            <v>Ibrahim</v>
          </cell>
          <cell r="G139" t="str">
            <v>Mam</v>
          </cell>
          <cell r="H139" t="str">
            <v>Female</v>
          </cell>
          <cell r="I139">
            <v>1981</v>
          </cell>
          <cell r="J139" t="str">
            <v>Kurdish</v>
          </cell>
          <cell r="K139">
            <v>7504574735</v>
          </cell>
          <cell r="L139">
            <v>7504588971</v>
          </cell>
          <cell r="P139" t="str">
            <v>International</v>
          </cell>
          <cell r="T139" t="str">
            <v>Accepted</v>
          </cell>
          <cell r="U139" t="str">
            <v>Withdraw</v>
          </cell>
          <cell r="V139" t="str">
            <v>Spring</v>
          </cell>
          <cell r="W139">
            <v>2015</v>
          </cell>
          <cell r="AF139" t="str">
            <v>Duhok</v>
          </cell>
          <cell r="AG139" t="str">
            <v>Tanahi</v>
          </cell>
          <cell r="AH139">
            <v>66.45</v>
          </cell>
          <cell r="AK139">
            <v>66.45</v>
          </cell>
          <cell r="AM139">
            <v>66.45</v>
          </cell>
          <cell r="AW139">
            <v>1</v>
          </cell>
        </row>
        <row r="140">
          <cell r="D140" t="str">
            <v>A21500015</v>
          </cell>
          <cell r="E140" t="str">
            <v>Shaymaa</v>
          </cell>
          <cell r="F140" t="str">
            <v>Khorsheed</v>
          </cell>
          <cell r="G140" t="str">
            <v>Zaynadeen</v>
          </cell>
          <cell r="H140" t="str">
            <v>Female</v>
          </cell>
          <cell r="I140">
            <v>1979</v>
          </cell>
          <cell r="J140" t="str">
            <v>Kurdish</v>
          </cell>
          <cell r="K140">
            <v>7504581562</v>
          </cell>
          <cell r="L140">
            <v>7504810094</v>
          </cell>
          <cell r="N140" t="str">
            <v>No</v>
          </cell>
          <cell r="O140" t="str">
            <v>No</v>
          </cell>
          <cell r="P140" t="str">
            <v>Local</v>
          </cell>
          <cell r="Q140" t="str">
            <v>First Year</v>
          </cell>
          <cell r="R140" t="str">
            <v>Martyr's Aid</v>
          </cell>
          <cell r="T140" t="str">
            <v>Accepted</v>
          </cell>
          <cell r="U140" t="str">
            <v>Freeze</v>
          </cell>
          <cell r="V140" t="str">
            <v>Spring</v>
          </cell>
          <cell r="W140">
            <v>2015</v>
          </cell>
          <cell r="X140" t="str">
            <v>Spring</v>
          </cell>
          <cell r="Y140">
            <v>2015</v>
          </cell>
          <cell r="Z140" t="str">
            <v>High School</v>
          </cell>
          <cell r="AA140">
            <v>1998</v>
          </cell>
          <cell r="AB140">
            <v>2</v>
          </cell>
          <cell r="AC140">
            <v>2</v>
          </cell>
          <cell r="AD140" t="str">
            <v>Science</v>
          </cell>
          <cell r="AE140" t="str">
            <v>Layla Qasim</v>
          </cell>
          <cell r="AF140" t="str">
            <v>Duhok</v>
          </cell>
          <cell r="AG140" t="str">
            <v>Shakhke</v>
          </cell>
          <cell r="AH140">
            <v>63.4</v>
          </cell>
          <cell r="AK140">
            <v>63.4</v>
          </cell>
          <cell r="AM140">
            <v>63.4</v>
          </cell>
          <cell r="AP140">
            <v>4</v>
          </cell>
          <cell r="AW140">
            <v>1</v>
          </cell>
          <cell r="BG140">
            <v>2</v>
          </cell>
        </row>
        <row r="141">
          <cell r="D141" t="str">
            <v>N/A</v>
          </cell>
          <cell r="E141" t="str">
            <v>Reving</v>
          </cell>
          <cell r="F141" t="str">
            <v>Faroq</v>
          </cell>
          <cell r="G141" t="str">
            <v>Ismael</v>
          </cell>
          <cell r="H141" t="str">
            <v>Male</v>
          </cell>
          <cell r="J141" t="str">
            <v>Kurdish</v>
          </cell>
          <cell r="K141">
            <v>7507077652</v>
          </cell>
          <cell r="P141" t="str">
            <v>International</v>
          </cell>
          <cell r="T141" t="str">
            <v>Pending</v>
          </cell>
          <cell r="V141" t="str">
            <v>Spring</v>
          </cell>
          <cell r="W141">
            <v>2015</v>
          </cell>
          <cell r="AF141" t="str">
            <v>Duhok</v>
          </cell>
          <cell r="AG141" t="str">
            <v>Dabin</v>
          </cell>
          <cell r="AK141">
            <v>0</v>
          </cell>
          <cell r="AM141">
            <v>0</v>
          </cell>
          <cell r="BB141">
            <v>3</v>
          </cell>
          <cell r="BD141">
            <v>1</v>
          </cell>
          <cell r="BG141">
            <v>2</v>
          </cell>
        </row>
        <row r="142">
          <cell r="D142" t="str">
            <v>00000139</v>
          </cell>
          <cell r="E142" t="str">
            <v>Jehan</v>
          </cell>
          <cell r="F142" t="str">
            <v>Mohammed</v>
          </cell>
          <cell r="G142" t="str">
            <v>Ahmed</v>
          </cell>
          <cell r="H142" t="str">
            <v>Female</v>
          </cell>
          <cell r="I142">
            <v>1982</v>
          </cell>
          <cell r="J142" t="str">
            <v>Kurdish</v>
          </cell>
          <cell r="K142">
            <v>7504090867</v>
          </cell>
          <cell r="N142" t="str">
            <v>No</v>
          </cell>
          <cell r="O142" t="str">
            <v>No</v>
          </cell>
          <cell r="P142" t="str">
            <v>Local</v>
          </cell>
          <cell r="Q142" t="str">
            <v>First Year</v>
          </cell>
          <cell r="R142" t="str">
            <v>Regular</v>
          </cell>
          <cell r="T142" t="str">
            <v>Accepted</v>
          </cell>
          <cell r="U142" t="str">
            <v>Withdraw</v>
          </cell>
          <cell r="V142" t="str">
            <v>Spring</v>
          </cell>
          <cell r="W142">
            <v>2015</v>
          </cell>
          <cell r="X142" t="str">
            <v>Spring</v>
          </cell>
          <cell r="Y142" t="str">
            <v>Jehan</v>
          </cell>
          <cell r="Z142" t="str">
            <v>High School</v>
          </cell>
          <cell r="AA142">
            <v>2002</v>
          </cell>
          <cell r="AE142" t="str">
            <v>Duhok</v>
          </cell>
          <cell r="AF142" t="str">
            <v>Duhok</v>
          </cell>
          <cell r="AG142" t="str">
            <v>Kayar</v>
          </cell>
          <cell r="AH142">
            <v>58.85</v>
          </cell>
          <cell r="AK142">
            <v>58.85</v>
          </cell>
          <cell r="AM142">
            <v>58.85</v>
          </cell>
          <cell r="AP142">
            <v>3</v>
          </cell>
          <cell r="BB142">
            <v>1</v>
          </cell>
        </row>
        <row r="143">
          <cell r="D143" t="str">
            <v>00000140</v>
          </cell>
          <cell r="E143" t="str">
            <v>Hazhar</v>
          </cell>
          <cell r="F143" t="str">
            <v>Idrees</v>
          </cell>
          <cell r="G143" t="str">
            <v>Ameen</v>
          </cell>
          <cell r="H143" t="str">
            <v>Male</v>
          </cell>
          <cell r="J143" t="str">
            <v>Kurdish</v>
          </cell>
          <cell r="K143">
            <v>7504969081</v>
          </cell>
          <cell r="P143" t="str">
            <v>Local</v>
          </cell>
          <cell r="Q143" t="str">
            <v>First Year</v>
          </cell>
          <cell r="R143" t="str">
            <v>Martyr's Aid</v>
          </cell>
          <cell r="T143" t="str">
            <v>Conditional</v>
          </cell>
          <cell r="U143" t="str">
            <v>Not Accepted</v>
          </cell>
          <cell r="V143" t="str">
            <v>Spring</v>
          </cell>
          <cell r="W143">
            <v>2015</v>
          </cell>
          <cell r="X143" t="str">
            <v>Spring</v>
          </cell>
          <cell r="Y143">
            <v>2015</v>
          </cell>
          <cell r="AH143">
            <v>60.6</v>
          </cell>
          <cell r="AK143">
            <v>60.6</v>
          </cell>
          <cell r="AM143">
            <v>60.6</v>
          </cell>
          <cell r="BE143">
            <v>1</v>
          </cell>
        </row>
        <row r="144">
          <cell r="D144" t="str">
            <v>N/A</v>
          </cell>
          <cell r="E144" t="str">
            <v>Bewar</v>
          </cell>
          <cell r="F144" t="str">
            <v>Idrees</v>
          </cell>
          <cell r="G144" t="str">
            <v>Amin</v>
          </cell>
          <cell r="H144" t="str">
            <v>Male</v>
          </cell>
          <cell r="J144" t="str">
            <v>Kurdish</v>
          </cell>
          <cell r="K144">
            <v>7504726823</v>
          </cell>
          <cell r="T144" t="str">
            <v>Pending</v>
          </cell>
          <cell r="V144" t="str">
            <v>Spring</v>
          </cell>
          <cell r="W144">
            <v>2015</v>
          </cell>
          <cell r="AK144">
            <v>0</v>
          </cell>
          <cell r="AM144">
            <v>0</v>
          </cell>
        </row>
        <row r="145">
          <cell r="D145" t="str">
            <v>A21500002</v>
          </cell>
          <cell r="E145" t="str">
            <v>Ragir</v>
          </cell>
          <cell r="F145" t="str">
            <v>Hameed</v>
          </cell>
          <cell r="G145" t="str">
            <v>Ali</v>
          </cell>
          <cell r="H145" t="str">
            <v>Male</v>
          </cell>
          <cell r="I145">
            <v>1989</v>
          </cell>
          <cell r="J145" t="str">
            <v>Kurdish</v>
          </cell>
          <cell r="K145">
            <v>7504506702</v>
          </cell>
          <cell r="L145">
            <v>7508504145</v>
          </cell>
          <cell r="N145" t="str">
            <v>No</v>
          </cell>
          <cell r="O145" t="str">
            <v>No</v>
          </cell>
          <cell r="P145" t="str">
            <v>Local</v>
          </cell>
          <cell r="Q145" t="str">
            <v>First Year</v>
          </cell>
          <cell r="R145" t="str">
            <v>Regular</v>
          </cell>
          <cell r="T145" t="str">
            <v>Accepted</v>
          </cell>
          <cell r="U145">
            <v>0</v>
          </cell>
          <cell r="V145" t="str">
            <v>Spring</v>
          </cell>
          <cell r="W145">
            <v>2015</v>
          </cell>
          <cell r="X145" t="str">
            <v>Spring</v>
          </cell>
          <cell r="Y145">
            <v>2015</v>
          </cell>
          <cell r="Z145" t="str">
            <v>High School</v>
          </cell>
          <cell r="AA145">
            <v>2014</v>
          </cell>
          <cell r="AB145">
            <v>1</v>
          </cell>
          <cell r="AC145">
            <v>2</v>
          </cell>
          <cell r="AD145" t="str">
            <v>Arts</v>
          </cell>
          <cell r="AE145" t="str">
            <v>Home School</v>
          </cell>
          <cell r="AF145" t="str">
            <v>Duhok</v>
          </cell>
          <cell r="AG145" t="str">
            <v>Hay Shurta</v>
          </cell>
          <cell r="AH145">
            <v>60.7</v>
          </cell>
          <cell r="AK145">
            <v>60.7</v>
          </cell>
          <cell r="AM145">
            <v>60.7</v>
          </cell>
          <cell r="AP145">
            <v>4</v>
          </cell>
          <cell r="BJ145">
            <v>1</v>
          </cell>
        </row>
        <row r="146">
          <cell r="D146" t="str">
            <v>00000143</v>
          </cell>
          <cell r="E146" t="str">
            <v>Bejar</v>
          </cell>
          <cell r="F146" t="str">
            <v>Yaseen</v>
          </cell>
          <cell r="G146" t="str">
            <v>Abdulrahman</v>
          </cell>
          <cell r="H146" t="str">
            <v>Male</v>
          </cell>
          <cell r="J146" t="str">
            <v>Kurdish</v>
          </cell>
          <cell r="K146">
            <v>7504819539</v>
          </cell>
          <cell r="L146">
            <v>7504582777</v>
          </cell>
          <cell r="P146" t="str">
            <v>Local</v>
          </cell>
          <cell r="Q146" t="str">
            <v>First Year</v>
          </cell>
          <cell r="R146" t="str">
            <v>Martyr's Aid</v>
          </cell>
          <cell r="T146" t="str">
            <v>Conditional</v>
          </cell>
          <cell r="U146" t="str">
            <v>Not Accepted</v>
          </cell>
          <cell r="V146" t="str">
            <v>Spring</v>
          </cell>
          <cell r="W146">
            <v>2015</v>
          </cell>
          <cell r="X146" t="str">
            <v>Spring</v>
          </cell>
          <cell r="Y146">
            <v>2015</v>
          </cell>
          <cell r="Z146" t="str">
            <v>High School</v>
          </cell>
          <cell r="AF146" t="str">
            <v>Duhok</v>
          </cell>
          <cell r="AG146" t="str">
            <v>Serhildan</v>
          </cell>
          <cell r="AH146">
            <v>59.75</v>
          </cell>
          <cell r="AK146">
            <v>59.75</v>
          </cell>
          <cell r="AM146">
            <v>59.75</v>
          </cell>
          <cell r="AP146">
            <v>3</v>
          </cell>
          <cell r="BF146">
            <v>1</v>
          </cell>
        </row>
        <row r="147">
          <cell r="D147" t="str">
            <v>A21500079</v>
          </cell>
          <cell r="E147" t="str">
            <v>Loreen</v>
          </cell>
          <cell r="F147" t="str">
            <v>Mazien</v>
          </cell>
          <cell r="G147" t="str">
            <v>Mohammed</v>
          </cell>
          <cell r="H147" t="str">
            <v>Female</v>
          </cell>
          <cell r="I147">
            <v>1996</v>
          </cell>
          <cell r="J147" t="str">
            <v>Kurdish</v>
          </cell>
          <cell r="K147">
            <v>7504457297</v>
          </cell>
          <cell r="L147">
            <v>7504504918</v>
          </cell>
          <cell r="N147" t="str">
            <v>No</v>
          </cell>
          <cell r="O147" t="str">
            <v>No</v>
          </cell>
          <cell r="P147" t="str">
            <v>Local</v>
          </cell>
          <cell r="Q147" t="str">
            <v>First Year</v>
          </cell>
          <cell r="R147" t="str">
            <v>Regular</v>
          </cell>
          <cell r="T147" t="str">
            <v>Accepted</v>
          </cell>
          <cell r="U147">
            <v>0</v>
          </cell>
          <cell r="V147" t="str">
            <v>Spring</v>
          </cell>
          <cell r="W147">
            <v>2015</v>
          </cell>
          <cell r="X147" t="str">
            <v>Spring</v>
          </cell>
          <cell r="Y147">
            <v>2015</v>
          </cell>
          <cell r="Z147" t="str">
            <v>High School</v>
          </cell>
          <cell r="AA147">
            <v>2014</v>
          </cell>
          <cell r="AB147">
            <v>1</v>
          </cell>
          <cell r="AC147">
            <v>1</v>
          </cell>
          <cell r="AD147" t="str">
            <v>Arts</v>
          </cell>
          <cell r="AE147" t="str">
            <v>Duhok</v>
          </cell>
          <cell r="AF147" t="str">
            <v>Duhok</v>
          </cell>
          <cell r="AG147" t="str">
            <v>Kanika</v>
          </cell>
          <cell r="AH147">
            <v>58.2</v>
          </cell>
          <cell r="AK147">
            <v>58.2</v>
          </cell>
          <cell r="AM147">
            <v>58.2</v>
          </cell>
          <cell r="AP147">
            <v>3</v>
          </cell>
          <cell r="AW147">
            <v>2</v>
          </cell>
          <cell r="BG147">
            <v>1</v>
          </cell>
        </row>
        <row r="148">
          <cell r="D148" t="str">
            <v>A21500024</v>
          </cell>
          <cell r="E148" t="str">
            <v>Kovan</v>
          </cell>
          <cell r="F148" t="str">
            <v>Fadhil</v>
          </cell>
          <cell r="G148" t="str">
            <v>Omar</v>
          </cell>
          <cell r="H148" t="str">
            <v>Male</v>
          </cell>
          <cell r="I148">
            <v>1990</v>
          </cell>
          <cell r="J148" t="str">
            <v>Kurdish</v>
          </cell>
          <cell r="K148">
            <v>7500166666</v>
          </cell>
          <cell r="L148">
            <v>7504455601</v>
          </cell>
          <cell r="N148" t="str">
            <v>No</v>
          </cell>
          <cell r="O148" t="str">
            <v>No</v>
          </cell>
          <cell r="P148" t="str">
            <v>Local</v>
          </cell>
          <cell r="Q148" t="str">
            <v>First Year</v>
          </cell>
          <cell r="R148" t="str">
            <v>Martyr's Aid</v>
          </cell>
          <cell r="T148" t="str">
            <v>Accepted</v>
          </cell>
          <cell r="U148">
            <v>0</v>
          </cell>
          <cell r="V148" t="str">
            <v>Spring</v>
          </cell>
          <cell r="W148">
            <v>2015</v>
          </cell>
          <cell r="X148" t="str">
            <v>Spring</v>
          </cell>
          <cell r="Y148">
            <v>2015</v>
          </cell>
          <cell r="Z148" t="str">
            <v>High School</v>
          </cell>
          <cell r="AA148">
            <v>2014</v>
          </cell>
          <cell r="AB148">
            <v>2</v>
          </cell>
          <cell r="AC148">
            <v>2</v>
          </cell>
          <cell r="AD148" t="str">
            <v>Arts</v>
          </cell>
          <cell r="AE148" t="str">
            <v>Yarmand</v>
          </cell>
          <cell r="AF148" t="str">
            <v>Duhok</v>
          </cell>
          <cell r="AG148" t="str">
            <v>Gavarke</v>
          </cell>
          <cell r="AH148">
            <v>53</v>
          </cell>
          <cell r="AK148">
            <v>53</v>
          </cell>
          <cell r="AM148">
            <v>53</v>
          </cell>
          <cell r="AP148">
            <v>4</v>
          </cell>
          <cell r="BB148">
            <v>3</v>
          </cell>
          <cell r="BF148">
            <v>2</v>
          </cell>
          <cell r="BG148">
            <v>1</v>
          </cell>
        </row>
        <row r="149">
          <cell r="D149" t="str">
            <v>A21500130</v>
          </cell>
          <cell r="E149" t="str">
            <v>Kasoz</v>
          </cell>
          <cell r="F149" t="str">
            <v>Khairy</v>
          </cell>
          <cell r="G149" t="str">
            <v>Yazdeen</v>
          </cell>
          <cell r="H149" t="str">
            <v>Female</v>
          </cell>
          <cell r="I149">
            <v>1995</v>
          </cell>
          <cell r="J149" t="str">
            <v>Kurdish</v>
          </cell>
          <cell r="K149">
            <v>7504239423</v>
          </cell>
          <cell r="L149">
            <v>7504570393</v>
          </cell>
          <cell r="M149" t="str">
            <v>Khairyhamow@yahoo.com</v>
          </cell>
          <cell r="N149" t="str">
            <v>No</v>
          </cell>
          <cell r="O149" t="str">
            <v>No</v>
          </cell>
          <cell r="P149" t="str">
            <v>Local</v>
          </cell>
          <cell r="Q149" t="str">
            <v>First Year</v>
          </cell>
          <cell r="R149" t="str">
            <v>Regular</v>
          </cell>
          <cell r="T149" t="str">
            <v>Accepted</v>
          </cell>
          <cell r="U149">
            <v>0</v>
          </cell>
          <cell r="V149" t="str">
            <v>Spring</v>
          </cell>
          <cell r="W149">
            <v>2015</v>
          </cell>
          <cell r="X149" t="str">
            <v>Spring</v>
          </cell>
          <cell r="Y149">
            <v>2015</v>
          </cell>
          <cell r="Z149" t="str">
            <v>High School</v>
          </cell>
          <cell r="AA149">
            <v>2014</v>
          </cell>
          <cell r="AB149">
            <v>2</v>
          </cell>
          <cell r="AC149">
            <v>2</v>
          </cell>
          <cell r="AD149" t="str">
            <v>Science</v>
          </cell>
          <cell r="AE149" t="str">
            <v>Duhok</v>
          </cell>
          <cell r="AF149" t="str">
            <v>Duhok</v>
          </cell>
          <cell r="AG149" t="str">
            <v>Gre Base</v>
          </cell>
          <cell r="AH149">
            <v>76.099999999999994</v>
          </cell>
          <cell r="AK149">
            <v>76.099999999999994</v>
          </cell>
          <cell r="AM149">
            <v>76.099999999999994</v>
          </cell>
          <cell r="AP149">
            <v>5</v>
          </cell>
          <cell r="AW149">
            <v>1</v>
          </cell>
        </row>
        <row r="150">
          <cell r="D150" t="str">
            <v>A21500005</v>
          </cell>
          <cell r="E150" t="str">
            <v>Alan</v>
          </cell>
          <cell r="F150" t="str">
            <v>Izadeen</v>
          </cell>
          <cell r="G150" t="str">
            <v>Pirmos</v>
          </cell>
          <cell r="H150" t="str">
            <v>Male</v>
          </cell>
          <cell r="I150">
            <v>1995</v>
          </cell>
          <cell r="J150" t="str">
            <v>Kurdish</v>
          </cell>
          <cell r="K150">
            <v>7507846173</v>
          </cell>
          <cell r="L150">
            <v>7504063274</v>
          </cell>
          <cell r="N150" t="str">
            <v>No</v>
          </cell>
          <cell r="O150" t="str">
            <v>No</v>
          </cell>
          <cell r="P150" t="str">
            <v>Local</v>
          </cell>
          <cell r="Q150" t="str">
            <v>First Year</v>
          </cell>
          <cell r="R150" t="str">
            <v>Martyr's Aid</v>
          </cell>
          <cell r="T150" t="str">
            <v>Accepted</v>
          </cell>
          <cell r="U150">
            <v>0</v>
          </cell>
          <cell r="V150" t="str">
            <v>Spring</v>
          </cell>
          <cell r="W150">
            <v>2015</v>
          </cell>
          <cell r="X150" t="str">
            <v>Spring</v>
          </cell>
          <cell r="Y150">
            <v>2015</v>
          </cell>
          <cell r="Z150" t="str">
            <v>High School</v>
          </cell>
          <cell r="AA150">
            <v>2014</v>
          </cell>
          <cell r="AB150">
            <v>2</v>
          </cell>
          <cell r="AC150">
            <v>2</v>
          </cell>
          <cell r="AD150" t="str">
            <v>Science</v>
          </cell>
          <cell r="AE150" t="str">
            <v>Brayate</v>
          </cell>
          <cell r="AF150" t="str">
            <v>Duhok</v>
          </cell>
          <cell r="AG150" t="str">
            <v>Hay Shrta</v>
          </cell>
          <cell r="AH150">
            <v>66.5</v>
          </cell>
          <cell r="AK150">
            <v>66.5</v>
          </cell>
          <cell r="AM150">
            <v>66.5</v>
          </cell>
          <cell r="AP150">
            <v>4</v>
          </cell>
          <cell r="BJ150">
            <v>1</v>
          </cell>
        </row>
        <row r="151">
          <cell r="D151" t="str">
            <v>A21500119</v>
          </cell>
          <cell r="E151" t="str">
            <v>Shireen</v>
          </cell>
          <cell r="F151" t="str">
            <v>Taher</v>
          </cell>
          <cell r="G151" t="str">
            <v>Saadon</v>
          </cell>
          <cell r="H151" t="str">
            <v>Female</v>
          </cell>
          <cell r="I151">
            <v>1991</v>
          </cell>
          <cell r="J151" t="str">
            <v>Kurdish</v>
          </cell>
          <cell r="K151">
            <v>7507967228</v>
          </cell>
          <cell r="L151">
            <v>7506572309</v>
          </cell>
          <cell r="N151" t="str">
            <v>No</v>
          </cell>
          <cell r="O151" t="str">
            <v>No</v>
          </cell>
          <cell r="P151" t="str">
            <v>Local</v>
          </cell>
          <cell r="Q151" t="str">
            <v>First Year</v>
          </cell>
          <cell r="R151" t="str">
            <v>Regular</v>
          </cell>
          <cell r="T151" t="str">
            <v>Accepted</v>
          </cell>
          <cell r="U151">
            <v>0</v>
          </cell>
          <cell r="V151" t="str">
            <v>Spring</v>
          </cell>
          <cell r="W151">
            <v>2015</v>
          </cell>
          <cell r="X151" t="str">
            <v>Spring</v>
          </cell>
          <cell r="Y151">
            <v>2015</v>
          </cell>
          <cell r="Z151" t="str">
            <v>High School</v>
          </cell>
          <cell r="AA151">
            <v>2012</v>
          </cell>
          <cell r="AB151">
            <v>3</v>
          </cell>
          <cell r="AC151">
            <v>1</v>
          </cell>
          <cell r="AD151" t="str">
            <v>Arts</v>
          </cell>
          <cell r="AE151" t="str">
            <v>Duhok</v>
          </cell>
          <cell r="AF151" t="str">
            <v>Duhok</v>
          </cell>
          <cell r="AG151" t="str">
            <v>K.R.O</v>
          </cell>
          <cell r="AH151">
            <v>56.1</v>
          </cell>
          <cell r="AK151">
            <v>56.1</v>
          </cell>
          <cell r="AM151">
            <v>56.1</v>
          </cell>
          <cell r="AP151">
            <v>1</v>
          </cell>
          <cell r="BG151">
            <v>1</v>
          </cell>
        </row>
        <row r="152">
          <cell r="D152" t="str">
            <v>A21500123</v>
          </cell>
          <cell r="E152" t="str">
            <v>Heji</v>
          </cell>
          <cell r="F152" t="str">
            <v>Ihsan</v>
          </cell>
          <cell r="G152" t="str">
            <v>Abdullah</v>
          </cell>
          <cell r="H152" t="str">
            <v>Male</v>
          </cell>
          <cell r="I152">
            <v>1996</v>
          </cell>
          <cell r="J152" t="str">
            <v>Kurdish</v>
          </cell>
          <cell r="K152">
            <v>7507439339</v>
          </cell>
          <cell r="L152">
            <v>7504460646</v>
          </cell>
          <cell r="N152" t="str">
            <v>No</v>
          </cell>
          <cell r="O152" t="str">
            <v>No</v>
          </cell>
          <cell r="P152" t="str">
            <v>Local</v>
          </cell>
          <cell r="Q152" t="str">
            <v>First Year</v>
          </cell>
          <cell r="R152" t="str">
            <v>Regular</v>
          </cell>
          <cell r="T152" t="str">
            <v>Accepted</v>
          </cell>
          <cell r="U152">
            <v>0</v>
          </cell>
          <cell r="V152" t="str">
            <v>Spring</v>
          </cell>
          <cell r="W152">
            <v>2015</v>
          </cell>
          <cell r="X152" t="str">
            <v>Spring</v>
          </cell>
          <cell r="Y152">
            <v>2015</v>
          </cell>
          <cell r="Z152" t="str">
            <v>High School</v>
          </cell>
          <cell r="AA152">
            <v>2014</v>
          </cell>
          <cell r="AB152">
            <v>1</v>
          </cell>
          <cell r="AC152">
            <v>2</v>
          </cell>
          <cell r="AD152" t="str">
            <v>Sciences</v>
          </cell>
          <cell r="AE152" t="str">
            <v>Kawa</v>
          </cell>
          <cell r="AF152" t="str">
            <v>Duhok</v>
          </cell>
          <cell r="AG152" t="str">
            <v>Mazi</v>
          </cell>
          <cell r="AH152">
            <v>57.85</v>
          </cell>
          <cell r="AI152">
            <v>67.400000000000006</v>
          </cell>
          <cell r="AJ152">
            <v>60</v>
          </cell>
          <cell r="AK152">
            <v>59.02</v>
          </cell>
          <cell r="AL152">
            <v>1</v>
          </cell>
          <cell r="AM152">
            <v>60.02</v>
          </cell>
          <cell r="AP152">
            <v>4</v>
          </cell>
          <cell r="BG152">
            <v>1</v>
          </cell>
        </row>
        <row r="153">
          <cell r="D153" t="str">
            <v>A21500028</v>
          </cell>
          <cell r="E153" t="str">
            <v>Reving</v>
          </cell>
          <cell r="F153" t="str">
            <v>Jalal</v>
          </cell>
          <cell r="G153" t="str">
            <v>Rashid</v>
          </cell>
          <cell r="H153" t="str">
            <v>Male</v>
          </cell>
          <cell r="I153">
            <v>1992</v>
          </cell>
          <cell r="J153" t="str">
            <v>Kurdish</v>
          </cell>
          <cell r="K153">
            <v>7504249958</v>
          </cell>
          <cell r="L153">
            <v>7504671212</v>
          </cell>
          <cell r="N153" t="str">
            <v>No</v>
          </cell>
          <cell r="O153" t="str">
            <v>No</v>
          </cell>
          <cell r="P153" t="str">
            <v>Local</v>
          </cell>
          <cell r="Q153" t="str">
            <v>First Year</v>
          </cell>
          <cell r="R153" t="str">
            <v>Regular</v>
          </cell>
          <cell r="T153" t="str">
            <v>Accepted</v>
          </cell>
          <cell r="U153">
            <v>0</v>
          </cell>
          <cell r="V153" t="str">
            <v>Spring</v>
          </cell>
          <cell r="W153">
            <v>2015</v>
          </cell>
          <cell r="X153" t="str">
            <v>Spring</v>
          </cell>
          <cell r="Y153">
            <v>2015</v>
          </cell>
          <cell r="Z153" t="str">
            <v>High School</v>
          </cell>
          <cell r="AA153">
            <v>2014</v>
          </cell>
          <cell r="AB153">
            <v>1</v>
          </cell>
          <cell r="AC153">
            <v>1</v>
          </cell>
          <cell r="AD153" t="str">
            <v>Arts</v>
          </cell>
          <cell r="AE153" t="str">
            <v>Sadiq Bahadin</v>
          </cell>
          <cell r="AF153" t="str">
            <v>Duhok</v>
          </cell>
          <cell r="AG153" t="str">
            <v>Masike</v>
          </cell>
          <cell r="AH153">
            <v>55</v>
          </cell>
          <cell r="AK153">
            <v>55</v>
          </cell>
          <cell r="AM153">
            <v>55</v>
          </cell>
          <cell r="AP153">
            <v>3</v>
          </cell>
          <cell r="BG153">
            <v>1</v>
          </cell>
        </row>
        <row r="154">
          <cell r="D154" t="str">
            <v>A21500066</v>
          </cell>
          <cell r="E154" t="str">
            <v>Noran</v>
          </cell>
          <cell r="F154" t="str">
            <v>Ribar</v>
          </cell>
          <cell r="G154" t="str">
            <v>Ismael</v>
          </cell>
          <cell r="H154" t="str">
            <v>Female</v>
          </cell>
          <cell r="I154">
            <v>1995</v>
          </cell>
          <cell r="J154" t="str">
            <v>Kurdish</v>
          </cell>
          <cell r="K154">
            <v>7507593940</v>
          </cell>
          <cell r="L154">
            <v>7504459437</v>
          </cell>
          <cell r="N154" t="str">
            <v>No</v>
          </cell>
          <cell r="O154" t="str">
            <v>No</v>
          </cell>
          <cell r="P154" t="str">
            <v>Local</v>
          </cell>
          <cell r="Q154" t="str">
            <v>First Year</v>
          </cell>
          <cell r="R154" t="str">
            <v>Regular</v>
          </cell>
          <cell r="T154" t="str">
            <v>Accepted</v>
          </cell>
          <cell r="U154">
            <v>0</v>
          </cell>
          <cell r="V154" t="str">
            <v>Spring</v>
          </cell>
          <cell r="W154">
            <v>2015</v>
          </cell>
          <cell r="X154" t="str">
            <v>Spring</v>
          </cell>
          <cell r="Y154">
            <v>2015</v>
          </cell>
          <cell r="Z154" t="str">
            <v>High School</v>
          </cell>
          <cell r="AA154">
            <v>2014</v>
          </cell>
          <cell r="AB154">
            <v>2</v>
          </cell>
          <cell r="AC154">
            <v>1</v>
          </cell>
          <cell r="AD154" t="str">
            <v>Science</v>
          </cell>
          <cell r="AE154" t="str">
            <v>Duhok</v>
          </cell>
          <cell r="AF154" t="str">
            <v>Duhok</v>
          </cell>
          <cell r="AG154" t="str">
            <v>Hay Malain</v>
          </cell>
          <cell r="AH154">
            <v>75.400000000000006</v>
          </cell>
          <cell r="AK154">
            <v>75.400000000000006</v>
          </cell>
          <cell r="AM154">
            <v>75.400000000000006</v>
          </cell>
          <cell r="AP154">
            <v>2</v>
          </cell>
          <cell r="AW154">
            <v>1</v>
          </cell>
        </row>
        <row r="155">
          <cell r="D155" t="str">
            <v>00000152</v>
          </cell>
          <cell r="E155" t="str">
            <v>Jiwan</v>
          </cell>
          <cell r="F155" t="str">
            <v>Jihan</v>
          </cell>
          <cell r="G155" t="str">
            <v>Mohammad</v>
          </cell>
          <cell r="H155" t="str">
            <v>Female</v>
          </cell>
          <cell r="I155">
            <v>1987</v>
          </cell>
          <cell r="J155" t="str">
            <v>Kurdish</v>
          </cell>
          <cell r="K155">
            <v>7504826300</v>
          </cell>
          <cell r="P155" t="str">
            <v>Local</v>
          </cell>
          <cell r="T155" t="str">
            <v>Accepted</v>
          </cell>
          <cell r="U155" t="str">
            <v>Withdraw</v>
          </cell>
          <cell r="V155" t="str">
            <v>Spring</v>
          </cell>
          <cell r="W155">
            <v>2015</v>
          </cell>
          <cell r="AF155" t="str">
            <v>Duhok</v>
          </cell>
          <cell r="AG155" t="str">
            <v>Gre Base</v>
          </cell>
          <cell r="AK155">
            <v>0</v>
          </cell>
          <cell r="AM155">
            <v>0</v>
          </cell>
          <cell r="AP155">
            <v>3</v>
          </cell>
          <cell r="BB155">
            <v>1</v>
          </cell>
        </row>
        <row r="156">
          <cell r="D156" t="str">
            <v>A21500052</v>
          </cell>
          <cell r="E156" t="str">
            <v>Sepan</v>
          </cell>
          <cell r="F156" t="str">
            <v>Adel</v>
          </cell>
          <cell r="G156" t="str">
            <v>Mustafa</v>
          </cell>
          <cell r="H156" t="str">
            <v>Male</v>
          </cell>
          <cell r="I156">
            <v>1989</v>
          </cell>
          <cell r="J156" t="str">
            <v>Kurdish</v>
          </cell>
          <cell r="K156">
            <v>7504311161</v>
          </cell>
          <cell r="N156" t="str">
            <v>No</v>
          </cell>
          <cell r="O156" t="str">
            <v>No</v>
          </cell>
          <cell r="P156" t="str">
            <v>Local</v>
          </cell>
          <cell r="Q156" t="str">
            <v>First Year</v>
          </cell>
          <cell r="R156" t="str">
            <v>Regular</v>
          </cell>
          <cell r="T156" t="str">
            <v>Accepted</v>
          </cell>
          <cell r="U156" t="str">
            <v>Freeze</v>
          </cell>
          <cell r="V156" t="str">
            <v>Spring</v>
          </cell>
          <cell r="W156">
            <v>2015</v>
          </cell>
          <cell r="X156" t="str">
            <v>Spring</v>
          </cell>
          <cell r="Y156">
            <v>2015</v>
          </cell>
          <cell r="Z156" t="str">
            <v>High School</v>
          </cell>
          <cell r="AA156">
            <v>2011</v>
          </cell>
          <cell r="AB156">
            <v>2</v>
          </cell>
          <cell r="AC156">
            <v>2</v>
          </cell>
          <cell r="AD156" t="str">
            <v>Arts</v>
          </cell>
          <cell r="AE156" t="str">
            <v>Dastor</v>
          </cell>
          <cell r="AF156" t="str">
            <v>Duhok</v>
          </cell>
          <cell r="AG156" t="str">
            <v>Gre Base</v>
          </cell>
          <cell r="AH156">
            <v>61.1</v>
          </cell>
          <cell r="AK156">
            <v>61.1</v>
          </cell>
          <cell r="AM156">
            <v>61.1</v>
          </cell>
          <cell r="AP156">
            <v>4</v>
          </cell>
          <cell r="AU156">
            <v>1</v>
          </cell>
        </row>
        <row r="157">
          <cell r="D157" t="str">
            <v>A21500006</v>
          </cell>
          <cell r="E157" t="str">
            <v>Heleen</v>
          </cell>
          <cell r="F157" t="str">
            <v>Ali</v>
          </cell>
          <cell r="G157" t="str">
            <v>Hasan</v>
          </cell>
          <cell r="H157" t="str">
            <v>Female</v>
          </cell>
          <cell r="I157">
            <v>1996</v>
          </cell>
          <cell r="J157" t="str">
            <v>Kurdish</v>
          </cell>
          <cell r="K157">
            <v>7504569333</v>
          </cell>
          <cell r="L157">
            <v>7504013209</v>
          </cell>
          <cell r="N157" t="str">
            <v>No</v>
          </cell>
          <cell r="O157" t="str">
            <v>No</v>
          </cell>
          <cell r="P157" t="str">
            <v>Local</v>
          </cell>
          <cell r="Q157" t="str">
            <v>First Year</v>
          </cell>
          <cell r="R157" t="str">
            <v>Martyr's Aid</v>
          </cell>
          <cell r="S157" t="str">
            <v>Family Discount</v>
          </cell>
          <cell r="T157" t="str">
            <v>Accepted</v>
          </cell>
          <cell r="U157">
            <v>0</v>
          </cell>
          <cell r="V157" t="str">
            <v>Spring</v>
          </cell>
          <cell r="W157">
            <v>2015</v>
          </cell>
          <cell r="X157" t="str">
            <v>Spring</v>
          </cell>
          <cell r="Y157">
            <v>2015</v>
          </cell>
          <cell r="Z157" t="str">
            <v>High School</v>
          </cell>
          <cell r="AA157">
            <v>2014</v>
          </cell>
          <cell r="AB157">
            <v>2</v>
          </cell>
          <cell r="AC157">
            <v>2</v>
          </cell>
          <cell r="AD157" t="str">
            <v>Science</v>
          </cell>
          <cell r="AE157" t="str">
            <v>Duhok</v>
          </cell>
          <cell r="AF157" t="str">
            <v>Duhok</v>
          </cell>
          <cell r="AG157" t="str">
            <v>Avro City</v>
          </cell>
          <cell r="AH157">
            <v>63.2</v>
          </cell>
          <cell r="AK157">
            <v>63.2</v>
          </cell>
          <cell r="AM157">
            <v>63.2</v>
          </cell>
          <cell r="AP157">
            <v>5</v>
          </cell>
          <cell r="AT157">
            <v>1</v>
          </cell>
        </row>
        <row r="158">
          <cell r="D158" t="str">
            <v>A21500008</v>
          </cell>
          <cell r="E158" t="str">
            <v>Hamza</v>
          </cell>
          <cell r="F158" t="str">
            <v>Khalid</v>
          </cell>
          <cell r="G158" t="str">
            <v>Abdulkareem</v>
          </cell>
          <cell r="H158" t="str">
            <v>Male</v>
          </cell>
          <cell r="I158">
            <v>1995</v>
          </cell>
          <cell r="J158" t="str">
            <v>Kurdish</v>
          </cell>
          <cell r="K158">
            <v>7504231005</v>
          </cell>
          <cell r="N158" t="str">
            <v>No</v>
          </cell>
          <cell r="O158" t="str">
            <v>No</v>
          </cell>
          <cell r="P158" t="str">
            <v>Local</v>
          </cell>
          <cell r="Q158" t="str">
            <v>First Year</v>
          </cell>
          <cell r="R158" t="str">
            <v>Regular</v>
          </cell>
          <cell r="T158" t="str">
            <v>Accepted</v>
          </cell>
          <cell r="U158">
            <v>0</v>
          </cell>
          <cell r="V158" t="str">
            <v>Spring</v>
          </cell>
          <cell r="W158">
            <v>2015</v>
          </cell>
          <cell r="X158" t="str">
            <v>Spring</v>
          </cell>
          <cell r="Y158">
            <v>2015</v>
          </cell>
          <cell r="Z158" t="str">
            <v>High School</v>
          </cell>
          <cell r="AA158">
            <v>2014</v>
          </cell>
          <cell r="AB158">
            <v>2</v>
          </cell>
          <cell r="AC158">
            <v>2</v>
          </cell>
          <cell r="AD158" t="str">
            <v>Science</v>
          </cell>
          <cell r="AE158" t="str">
            <v>Gali</v>
          </cell>
          <cell r="AF158" t="str">
            <v>Zakho</v>
          </cell>
          <cell r="AG158" t="str">
            <v>Gulan</v>
          </cell>
          <cell r="AH158">
            <v>68</v>
          </cell>
          <cell r="AK158">
            <v>68</v>
          </cell>
          <cell r="AM158">
            <v>68</v>
          </cell>
          <cell r="AP158">
            <v>1</v>
          </cell>
          <cell r="AW158">
            <v>1</v>
          </cell>
        </row>
        <row r="159">
          <cell r="D159" t="str">
            <v>00000156</v>
          </cell>
          <cell r="E159" t="str">
            <v>Mustafa</v>
          </cell>
          <cell r="F159" t="str">
            <v>Zana</v>
          </cell>
          <cell r="G159" t="str">
            <v>Mustafa</v>
          </cell>
          <cell r="H159" t="str">
            <v>Male</v>
          </cell>
          <cell r="I159">
            <v>1995</v>
          </cell>
          <cell r="J159" t="str">
            <v>Kurdish</v>
          </cell>
          <cell r="K159">
            <v>7504994099</v>
          </cell>
          <cell r="L159">
            <v>7504452921</v>
          </cell>
          <cell r="P159" t="str">
            <v>Local</v>
          </cell>
          <cell r="T159" t="str">
            <v>Accepted</v>
          </cell>
          <cell r="U159" t="str">
            <v>Withdraw</v>
          </cell>
          <cell r="V159" t="str">
            <v>Spring</v>
          </cell>
          <cell r="W159">
            <v>2015</v>
          </cell>
          <cell r="AF159" t="str">
            <v>Hawler</v>
          </cell>
          <cell r="AG159" t="str">
            <v>Brayeti</v>
          </cell>
          <cell r="AH159">
            <v>58.3</v>
          </cell>
          <cell r="AK159">
            <v>58.3</v>
          </cell>
          <cell r="AM159">
            <v>58.3</v>
          </cell>
        </row>
        <row r="160">
          <cell r="D160" t="str">
            <v>A21500044</v>
          </cell>
          <cell r="E160" t="str">
            <v>Rand</v>
          </cell>
          <cell r="F160" t="str">
            <v>Rasim</v>
          </cell>
          <cell r="G160" t="str">
            <v>Hurmiz</v>
          </cell>
          <cell r="H160" t="str">
            <v>Female</v>
          </cell>
          <cell r="I160">
            <v>1996</v>
          </cell>
          <cell r="J160" t="str">
            <v>Kurdish</v>
          </cell>
          <cell r="K160">
            <v>7504058885</v>
          </cell>
          <cell r="L160">
            <v>7504454995</v>
          </cell>
          <cell r="N160" t="str">
            <v>No</v>
          </cell>
          <cell r="O160" t="str">
            <v>No</v>
          </cell>
          <cell r="P160" t="str">
            <v>Local</v>
          </cell>
          <cell r="Q160" t="str">
            <v>First Year</v>
          </cell>
          <cell r="R160" t="str">
            <v>Regular</v>
          </cell>
          <cell r="T160" t="str">
            <v>Accepted</v>
          </cell>
          <cell r="U160">
            <v>0</v>
          </cell>
          <cell r="V160" t="str">
            <v>Spring</v>
          </cell>
          <cell r="W160">
            <v>2015</v>
          </cell>
          <cell r="X160" t="str">
            <v>Spring</v>
          </cell>
          <cell r="Y160">
            <v>2015</v>
          </cell>
          <cell r="Z160" t="str">
            <v>High School</v>
          </cell>
          <cell r="AA160">
            <v>2014</v>
          </cell>
          <cell r="AB160">
            <v>1</v>
          </cell>
          <cell r="AC160">
            <v>2</v>
          </cell>
          <cell r="AD160" t="str">
            <v>Science</v>
          </cell>
          <cell r="AE160" t="str">
            <v>Bizhara</v>
          </cell>
          <cell r="AF160" t="str">
            <v>Duhok</v>
          </cell>
          <cell r="AG160" t="str">
            <v>KRO</v>
          </cell>
          <cell r="AH160">
            <v>76</v>
          </cell>
          <cell r="AK160">
            <v>76</v>
          </cell>
          <cell r="AM160">
            <v>76</v>
          </cell>
          <cell r="AP160">
            <v>4</v>
          </cell>
          <cell r="AW160">
            <v>1</v>
          </cell>
        </row>
        <row r="161">
          <cell r="D161" t="str">
            <v>A21500087</v>
          </cell>
          <cell r="E161" t="str">
            <v>Mohammed</v>
          </cell>
          <cell r="F161" t="str">
            <v>Qadri</v>
          </cell>
          <cell r="G161" t="str">
            <v>Hairan</v>
          </cell>
          <cell r="H161" t="str">
            <v>Male</v>
          </cell>
          <cell r="I161">
            <v>1980</v>
          </cell>
          <cell r="J161" t="str">
            <v>Kurdish</v>
          </cell>
          <cell r="K161" t="str">
            <v>0750 426 2368</v>
          </cell>
          <cell r="L161" t="str">
            <v>0750 372 12 64</v>
          </cell>
          <cell r="N161" t="str">
            <v>No</v>
          </cell>
          <cell r="O161" t="str">
            <v>No</v>
          </cell>
          <cell r="P161" t="str">
            <v>Local</v>
          </cell>
          <cell r="Q161" t="str">
            <v>First Year</v>
          </cell>
          <cell r="R161" t="str">
            <v>Political Prisoner</v>
          </cell>
          <cell r="T161" t="str">
            <v>Accepted</v>
          </cell>
          <cell r="U161">
            <v>0</v>
          </cell>
          <cell r="V161" t="str">
            <v>Spring</v>
          </cell>
          <cell r="W161">
            <v>2015</v>
          </cell>
          <cell r="X161" t="str">
            <v>Spring</v>
          </cell>
          <cell r="Y161">
            <v>2015</v>
          </cell>
          <cell r="Z161" t="str">
            <v>High School</v>
          </cell>
          <cell r="AA161">
            <v>1997</v>
          </cell>
          <cell r="AB161">
            <v>1</v>
          </cell>
          <cell r="AC161">
            <v>2</v>
          </cell>
          <cell r="AD161" t="str">
            <v>Arts</v>
          </cell>
          <cell r="AE161" t="str">
            <v>Zakho</v>
          </cell>
          <cell r="AF161" t="str">
            <v>Zakho</v>
          </cell>
          <cell r="AG161" t="str">
            <v>Bedirxan</v>
          </cell>
          <cell r="AH161">
            <v>60</v>
          </cell>
          <cell r="AK161">
            <v>60</v>
          </cell>
          <cell r="AM161">
            <v>60</v>
          </cell>
          <cell r="AP161">
            <v>4</v>
          </cell>
          <cell r="BG161">
            <v>1</v>
          </cell>
        </row>
        <row r="162">
          <cell r="D162" t="str">
            <v>00000159</v>
          </cell>
          <cell r="E162" t="str">
            <v>Pesan</v>
          </cell>
          <cell r="F162" t="str">
            <v>Sulaiman</v>
          </cell>
          <cell r="G162" t="str">
            <v>Yaseen</v>
          </cell>
          <cell r="H162" t="str">
            <v>Male</v>
          </cell>
          <cell r="I162">
            <v>1991</v>
          </cell>
          <cell r="J162" t="str">
            <v>Kurdish</v>
          </cell>
          <cell r="K162">
            <v>7706576524</v>
          </cell>
          <cell r="L162">
            <v>7504207012</v>
          </cell>
          <cell r="P162" t="str">
            <v>Local</v>
          </cell>
          <cell r="T162" t="str">
            <v>Accepted</v>
          </cell>
          <cell r="U162" t="str">
            <v>Withdraw</v>
          </cell>
          <cell r="V162" t="str">
            <v>Spring</v>
          </cell>
          <cell r="W162">
            <v>2015</v>
          </cell>
          <cell r="AK162">
            <v>0</v>
          </cell>
          <cell r="AM162">
            <v>0</v>
          </cell>
        </row>
        <row r="163">
          <cell r="D163" t="str">
            <v>A21500131</v>
          </cell>
          <cell r="E163" t="str">
            <v>Safa</v>
          </cell>
          <cell r="F163" t="str">
            <v>Jaseem</v>
          </cell>
          <cell r="G163" t="str">
            <v>Mohammed</v>
          </cell>
          <cell r="H163" t="str">
            <v>Female</v>
          </cell>
          <cell r="I163">
            <v>1993</v>
          </cell>
          <cell r="J163" t="str">
            <v>Arab</v>
          </cell>
          <cell r="K163">
            <v>7722431369</v>
          </cell>
          <cell r="N163" t="str">
            <v>Yes</v>
          </cell>
          <cell r="O163" t="str">
            <v>No</v>
          </cell>
          <cell r="P163" t="str">
            <v>Local</v>
          </cell>
          <cell r="Q163" t="str">
            <v>First Year</v>
          </cell>
          <cell r="R163" t="str">
            <v>Regular</v>
          </cell>
          <cell r="T163" t="str">
            <v>Accepted</v>
          </cell>
          <cell r="U163">
            <v>0</v>
          </cell>
          <cell r="V163" t="str">
            <v>Spring</v>
          </cell>
          <cell r="W163">
            <v>2015</v>
          </cell>
          <cell r="X163" t="str">
            <v>Spring</v>
          </cell>
          <cell r="Y163">
            <v>2015</v>
          </cell>
          <cell r="Z163" t="str">
            <v>High School</v>
          </cell>
          <cell r="AA163">
            <v>2014</v>
          </cell>
          <cell r="AB163">
            <v>2</v>
          </cell>
          <cell r="AC163">
            <v>1</v>
          </cell>
          <cell r="AD163" t="str">
            <v>Science</v>
          </cell>
          <cell r="AE163" t="str">
            <v>Awaz</v>
          </cell>
          <cell r="AF163" t="str">
            <v>Duhok</v>
          </cell>
          <cell r="AG163" t="str">
            <v>Avro City</v>
          </cell>
          <cell r="AH163">
            <v>54.3</v>
          </cell>
          <cell r="AK163">
            <v>54.3</v>
          </cell>
          <cell r="AM163">
            <v>54.3</v>
          </cell>
          <cell r="AP163">
            <v>1</v>
          </cell>
          <cell r="BB163">
            <v>1</v>
          </cell>
        </row>
        <row r="164">
          <cell r="D164" t="str">
            <v>A21500030</v>
          </cell>
          <cell r="E164" t="str">
            <v>Shireen</v>
          </cell>
          <cell r="F164" t="str">
            <v>Ismael</v>
          </cell>
          <cell r="G164" t="str">
            <v>Ahmed</v>
          </cell>
          <cell r="H164" t="str">
            <v>Female</v>
          </cell>
          <cell r="I164">
            <v>1995</v>
          </cell>
          <cell r="J164" t="str">
            <v>Kurdish</v>
          </cell>
          <cell r="K164">
            <v>7503582893</v>
          </cell>
          <cell r="L164">
            <v>7504501724</v>
          </cell>
          <cell r="N164" t="str">
            <v>Yes</v>
          </cell>
          <cell r="O164" t="str">
            <v>No</v>
          </cell>
          <cell r="P164" t="str">
            <v>Local</v>
          </cell>
          <cell r="Q164" t="str">
            <v>First Year</v>
          </cell>
          <cell r="R164" t="str">
            <v>Regular</v>
          </cell>
          <cell r="T164" t="str">
            <v>Accepted</v>
          </cell>
          <cell r="U164">
            <v>0</v>
          </cell>
          <cell r="V164" t="str">
            <v>Spring</v>
          </cell>
          <cell r="W164">
            <v>2015</v>
          </cell>
          <cell r="X164" t="str">
            <v>Spring</v>
          </cell>
          <cell r="Y164">
            <v>2015</v>
          </cell>
          <cell r="Z164" t="str">
            <v>High School</v>
          </cell>
          <cell r="AA164">
            <v>2014</v>
          </cell>
          <cell r="AB164">
            <v>1</v>
          </cell>
          <cell r="AC164">
            <v>1</v>
          </cell>
          <cell r="AD164" t="str">
            <v>Science</v>
          </cell>
          <cell r="AE164" t="str">
            <v>Jigarxween</v>
          </cell>
          <cell r="AF164" t="str">
            <v>Duhok</v>
          </cell>
          <cell r="AG164" t="str">
            <v>Hay Shrta</v>
          </cell>
          <cell r="AH164">
            <v>56</v>
          </cell>
          <cell r="AK164">
            <v>56</v>
          </cell>
          <cell r="AM164">
            <v>56</v>
          </cell>
          <cell r="AP164">
            <v>2</v>
          </cell>
          <cell r="BG164">
            <v>1</v>
          </cell>
        </row>
        <row r="165">
          <cell r="D165" t="str">
            <v>N/A</v>
          </cell>
          <cell r="E165" t="str">
            <v>Fathi</v>
          </cell>
          <cell r="F165" t="str">
            <v>Ghafar</v>
          </cell>
          <cell r="G165" t="str">
            <v>Salih</v>
          </cell>
          <cell r="H165" t="str">
            <v>Male</v>
          </cell>
          <cell r="J165" t="str">
            <v>Kurdish</v>
          </cell>
          <cell r="K165">
            <v>7504955301</v>
          </cell>
          <cell r="L165">
            <v>7605105641</v>
          </cell>
          <cell r="N165" t="str">
            <v>No</v>
          </cell>
          <cell r="O165" t="str">
            <v>No</v>
          </cell>
          <cell r="P165" t="str">
            <v>Local</v>
          </cell>
          <cell r="Q165" t="str">
            <v>First Year</v>
          </cell>
          <cell r="R165" t="str">
            <v>Regular</v>
          </cell>
          <cell r="T165" t="str">
            <v>Pending</v>
          </cell>
          <cell r="U165" t="str">
            <v>Not Accepted</v>
          </cell>
          <cell r="V165" t="str">
            <v>Spring</v>
          </cell>
          <cell r="W165">
            <v>2016</v>
          </cell>
          <cell r="Z165" t="str">
            <v>High School</v>
          </cell>
          <cell r="AA165">
            <v>2002</v>
          </cell>
          <cell r="AF165" t="str">
            <v>Duhok</v>
          </cell>
          <cell r="AG165" t="str">
            <v>Galy</v>
          </cell>
          <cell r="AH165">
            <v>70</v>
          </cell>
          <cell r="AK165">
            <v>70</v>
          </cell>
          <cell r="AM165">
            <v>70</v>
          </cell>
          <cell r="BD165">
            <v>1</v>
          </cell>
        </row>
        <row r="166">
          <cell r="D166" t="str">
            <v>N/A</v>
          </cell>
          <cell r="E166" t="str">
            <v>Mateen</v>
          </cell>
          <cell r="F166" t="str">
            <v>Ghueffar</v>
          </cell>
          <cell r="G166" t="str">
            <v>Barzani</v>
          </cell>
          <cell r="H166" t="str">
            <v>Male</v>
          </cell>
          <cell r="J166" t="str">
            <v>Kurdish</v>
          </cell>
          <cell r="T166" t="str">
            <v>Pending</v>
          </cell>
          <cell r="V166" t="str">
            <v>Spring</v>
          </cell>
          <cell r="W166">
            <v>2015</v>
          </cell>
          <cell r="AK166">
            <v>0</v>
          </cell>
          <cell r="AM166">
            <v>0</v>
          </cell>
        </row>
        <row r="167">
          <cell r="D167" t="str">
            <v>A21500065</v>
          </cell>
          <cell r="E167" t="str">
            <v>Fadya</v>
          </cell>
          <cell r="F167" t="str">
            <v>Akram</v>
          </cell>
          <cell r="G167" t="str">
            <v>Abdulwahid</v>
          </cell>
          <cell r="H167" t="str">
            <v>Female</v>
          </cell>
          <cell r="I167">
            <v>1995</v>
          </cell>
          <cell r="J167" t="str">
            <v>Arab</v>
          </cell>
          <cell r="K167">
            <v>7722460887</v>
          </cell>
          <cell r="L167">
            <v>7701612863</v>
          </cell>
          <cell r="N167" t="str">
            <v>Yes</v>
          </cell>
          <cell r="O167" t="str">
            <v>Yes</v>
          </cell>
          <cell r="P167" t="str">
            <v>Local</v>
          </cell>
          <cell r="Q167" t="str">
            <v>First Year</v>
          </cell>
          <cell r="R167" t="str">
            <v>Regular</v>
          </cell>
          <cell r="T167" t="str">
            <v>Accepted</v>
          </cell>
          <cell r="U167">
            <v>0</v>
          </cell>
          <cell r="V167" t="str">
            <v>Spring</v>
          </cell>
          <cell r="W167">
            <v>2015</v>
          </cell>
          <cell r="X167" t="str">
            <v>Spring</v>
          </cell>
          <cell r="Y167">
            <v>2015</v>
          </cell>
          <cell r="Z167" t="str">
            <v>High School</v>
          </cell>
          <cell r="AA167">
            <v>2014</v>
          </cell>
          <cell r="AE167" t="str">
            <v>Typical School</v>
          </cell>
          <cell r="AF167" t="str">
            <v>Duhok</v>
          </cell>
          <cell r="AG167" t="str">
            <v>Gresor</v>
          </cell>
          <cell r="AH167">
            <v>64.7</v>
          </cell>
          <cell r="AK167">
            <v>64.7</v>
          </cell>
          <cell r="AM167">
            <v>64.7</v>
          </cell>
          <cell r="AP167">
            <v>2</v>
          </cell>
          <cell r="AS167">
            <v>1</v>
          </cell>
        </row>
        <row r="168">
          <cell r="D168" t="str">
            <v>A21500051</v>
          </cell>
          <cell r="E168" t="str">
            <v>Roz</v>
          </cell>
          <cell r="F168" t="str">
            <v>Deedar</v>
          </cell>
          <cell r="G168" t="str">
            <v>Khaleel</v>
          </cell>
          <cell r="H168" t="str">
            <v>Female</v>
          </cell>
          <cell r="I168">
            <v>1993</v>
          </cell>
          <cell r="J168" t="str">
            <v>Kurdish</v>
          </cell>
          <cell r="K168">
            <v>7504573625</v>
          </cell>
          <cell r="L168">
            <v>7504444451</v>
          </cell>
          <cell r="M168" t="str">
            <v>roj94dedar@gmail.com</v>
          </cell>
          <cell r="N168" t="str">
            <v>No</v>
          </cell>
          <cell r="O168" t="str">
            <v>No</v>
          </cell>
          <cell r="P168" t="str">
            <v>Local</v>
          </cell>
          <cell r="Q168" t="str">
            <v>First Year</v>
          </cell>
          <cell r="R168" t="str">
            <v>Regular</v>
          </cell>
          <cell r="T168" t="str">
            <v>Accepted</v>
          </cell>
          <cell r="U168">
            <v>0</v>
          </cell>
          <cell r="V168" t="str">
            <v>Spring</v>
          </cell>
          <cell r="W168">
            <v>2015</v>
          </cell>
          <cell r="X168" t="str">
            <v>Spring</v>
          </cell>
          <cell r="Y168">
            <v>2015</v>
          </cell>
          <cell r="Z168" t="str">
            <v>High School</v>
          </cell>
          <cell r="AA168">
            <v>2014</v>
          </cell>
          <cell r="AB168">
            <v>2</v>
          </cell>
          <cell r="AC168">
            <v>2</v>
          </cell>
          <cell r="AD168" t="str">
            <v>Science</v>
          </cell>
          <cell r="AE168" t="str">
            <v>Jiyan</v>
          </cell>
          <cell r="AF168" t="str">
            <v>Duhok</v>
          </cell>
          <cell r="AG168" t="str">
            <v>New Zakho</v>
          </cell>
          <cell r="AH168">
            <v>64.7</v>
          </cell>
          <cell r="AK168">
            <v>64.7</v>
          </cell>
          <cell r="AM168">
            <v>64.7</v>
          </cell>
          <cell r="AP168">
            <v>3</v>
          </cell>
          <cell r="AW168">
            <v>2</v>
          </cell>
          <cell r="BB168">
            <v>3</v>
          </cell>
          <cell r="BG168">
            <v>1</v>
          </cell>
        </row>
        <row r="169">
          <cell r="D169" t="str">
            <v>A21500025</v>
          </cell>
          <cell r="E169" t="str">
            <v>Tanya</v>
          </cell>
          <cell r="F169" t="str">
            <v>Deedar</v>
          </cell>
          <cell r="G169" t="str">
            <v>Khaleel</v>
          </cell>
          <cell r="H169" t="str">
            <v>Female</v>
          </cell>
          <cell r="I169">
            <v>1996</v>
          </cell>
          <cell r="J169" t="str">
            <v>Kurdish</v>
          </cell>
          <cell r="K169">
            <v>7504573625</v>
          </cell>
          <cell r="L169">
            <v>7504444451</v>
          </cell>
          <cell r="M169" t="str">
            <v>tane_889@hotmail.com</v>
          </cell>
          <cell r="N169" t="str">
            <v>Yes</v>
          </cell>
          <cell r="O169" t="str">
            <v>No</v>
          </cell>
          <cell r="P169" t="str">
            <v>Local</v>
          </cell>
          <cell r="Q169" t="str">
            <v>First Year</v>
          </cell>
          <cell r="R169" t="str">
            <v>Siblings</v>
          </cell>
          <cell r="T169" t="str">
            <v>Accepted</v>
          </cell>
          <cell r="U169">
            <v>0</v>
          </cell>
          <cell r="V169" t="str">
            <v>Spring</v>
          </cell>
          <cell r="W169">
            <v>2015</v>
          </cell>
          <cell r="X169" t="str">
            <v>Spring</v>
          </cell>
          <cell r="Y169">
            <v>2015</v>
          </cell>
          <cell r="Z169" t="str">
            <v>High School</v>
          </cell>
          <cell r="AA169">
            <v>2014</v>
          </cell>
          <cell r="AD169" t="str">
            <v>Science</v>
          </cell>
          <cell r="AE169" t="str">
            <v>Jiyan</v>
          </cell>
          <cell r="AF169" t="str">
            <v>Duhok</v>
          </cell>
          <cell r="AG169" t="str">
            <v>New Zakho</v>
          </cell>
          <cell r="AH169">
            <v>63.1</v>
          </cell>
          <cell r="AK169">
            <v>63.1</v>
          </cell>
          <cell r="AM169">
            <v>63.1</v>
          </cell>
          <cell r="AP169">
            <v>1</v>
          </cell>
          <cell r="AW169">
            <v>2</v>
          </cell>
          <cell r="BJ169">
            <v>1</v>
          </cell>
        </row>
        <row r="170">
          <cell r="D170" t="str">
            <v>A21500041</v>
          </cell>
          <cell r="E170" t="str">
            <v>Ahmed</v>
          </cell>
          <cell r="F170" t="str">
            <v>Taher</v>
          </cell>
          <cell r="G170" t="str">
            <v>Tili</v>
          </cell>
          <cell r="H170" t="str">
            <v>Male</v>
          </cell>
          <cell r="I170">
            <v>1988</v>
          </cell>
          <cell r="J170" t="str">
            <v>Kurdish</v>
          </cell>
          <cell r="K170">
            <v>7504736775</v>
          </cell>
          <cell r="L170">
            <v>7504576365</v>
          </cell>
          <cell r="N170" t="str">
            <v>No</v>
          </cell>
          <cell r="O170" t="str">
            <v>No</v>
          </cell>
          <cell r="P170" t="str">
            <v>Local</v>
          </cell>
          <cell r="Q170" t="str">
            <v>First Year</v>
          </cell>
          <cell r="R170" t="str">
            <v>Regular</v>
          </cell>
          <cell r="T170" t="str">
            <v>Accepted</v>
          </cell>
          <cell r="U170">
            <v>0</v>
          </cell>
          <cell r="V170" t="str">
            <v>Spring</v>
          </cell>
          <cell r="W170">
            <v>2015</v>
          </cell>
          <cell r="X170" t="str">
            <v>Spring</v>
          </cell>
          <cell r="Y170">
            <v>2015</v>
          </cell>
          <cell r="Z170" t="str">
            <v>High School</v>
          </cell>
          <cell r="AA170">
            <v>2014</v>
          </cell>
          <cell r="AB170">
            <v>1</v>
          </cell>
          <cell r="AC170">
            <v>1</v>
          </cell>
          <cell r="AD170" t="str">
            <v>Arts</v>
          </cell>
          <cell r="AE170" t="str">
            <v>Home School</v>
          </cell>
          <cell r="AF170" t="str">
            <v>Duhok</v>
          </cell>
          <cell r="AG170" t="str">
            <v>Bisere</v>
          </cell>
          <cell r="AH170">
            <v>61.4</v>
          </cell>
          <cell r="AK170">
            <v>61.4</v>
          </cell>
          <cell r="AM170">
            <v>61.4</v>
          </cell>
          <cell r="AP170">
            <v>1</v>
          </cell>
          <cell r="BB170">
            <v>1</v>
          </cell>
        </row>
        <row r="171">
          <cell r="D171" t="str">
            <v>00000168</v>
          </cell>
          <cell r="E171" t="str">
            <v>Nurjan</v>
          </cell>
          <cell r="F171" t="str">
            <v>Fakhir</v>
          </cell>
          <cell r="G171" t="str">
            <v>M. Shaheed</v>
          </cell>
          <cell r="H171" t="str">
            <v>Female</v>
          </cell>
          <cell r="I171">
            <v>1996</v>
          </cell>
          <cell r="J171" t="str">
            <v>Kurdish</v>
          </cell>
          <cell r="K171">
            <v>7508404848</v>
          </cell>
          <cell r="L171">
            <v>7504667914</v>
          </cell>
          <cell r="N171" t="str">
            <v>No</v>
          </cell>
          <cell r="O171" t="str">
            <v>No</v>
          </cell>
          <cell r="P171" t="str">
            <v>Local</v>
          </cell>
          <cell r="Q171" t="str">
            <v>First Year</v>
          </cell>
          <cell r="R171" t="str">
            <v>Regular</v>
          </cell>
          <cell r="T171" t="str">
            <v>Accepted</v>
          </cell>
          <cell r="U171" t="str">
            <v>Withdraw</v>
          </cell>
          <cell r="V171" t="str">
            <v>Spring</v>
          </cell>
          <cell r="W171">
            <v>2015</v>
          </cell>
          <cell r="X171" t="str">
            <v>Spring</v>
          </cell>
          <cell r="Y171">
            <v>2015</v>
          </cell>
          <cell r="Z171" t="str">
            <v>High School</v>
          </cell>
          <cell r="AA171">
            <v>2014</v>
          </cell>
          <cell r="AB171">
            <v>1</v>
          </cell>
          <cell r="AC171">
            <v>1</v>
          </cell>
          <cell r="AD171" t="str">
            <v>Science</v>
          </cell>
          <cell r="AE171" t="str">
            <v xml:space="preserve">Haliz </v>
          </cell>
          <cell r="AF171" t="str">
            <v>Duhok</v>
          </cell>
          <cell r="AG171" t="str">
            <v>Malta</v>
          </cell>
          <cell r="AH171">
            <v>69</v>
          </cell>
          <cell r="AK171">
            <v>69</v>
          </cell>
          <cell r="AM171">
            <v>69</v>
          </cell>
          <cell r="AP171">
            <v>2</v>
          </cell>
          <cell r="AW171">
            <v>1</v>
          </cell>
        </row>
        <row r="172">
          <cell r="D172" t="str">
            <v>A21500106</v>
          </cell>
          <cell r="E172" t="str">
            <v>Zilan</v>
          </cell>
          <cell r="F172" t="str">
            <v>Mohammed</v>
          </cell>
          <cell r="G172" t="str">
            <v>Hussein</v>
          </cell>
          <cell r="H172" t="str">
            <v>Female</v>
          </cell>
          <cell r="I172">
            <v>1994</v>
          </cell>
          <cell r="J172" t="str">
            <v>Kurdish</v>
          </cell>
          <cell r="K172">
            <v>7508506224</v>
          </cell>
          <cell r="L172">
            <v>7721858288</v>
          </cell>
          <cell r="N172" t="str">
            <v>Yes</v>
          </cell>
          <cell r="O172" t="str">
            <v>No</v>
          </cell>
          <cell r="P172" t="str">
            <v>Local</v>
          </cell>
          <cell r="Q172" t="str">
            <v>First Year</v>
          </cell>
          <cell r="R172" t="str">
            <v>Martyr's Aid</v>
          </cell>
          <cell r="T172" t="str">
            <v>Accepted</v>
          </cell>
          <cell r="U172">
            <v>0</v>
          </cell>
          <cell r="V172" t="str">
            <v>Spring</v>
          </cell>
          <cell r="W172">
            <v>2015</v>
          </cell>
          <cell r="X172" t="str">
            <v>Spring</v>
          </cell>
          <cell r="Y172">
            <v>2015</v>
          </cell>
          <cell r="Z172" t="str">
            <v>High School</v>
          </cell>
          <cell r="AA172">
            <v>2014</v>
          </cell>
          <cell r="AE172" t="str">
            <v>Awaz</v>
          </cell>
          <cell r="AF172" t="str">
            <v>Duhok</v>
          </cell>
          <cell r="AG172" t="str">
            <v>Dumis</v>
          </cell>
          <cell r="AH172">
            <v>58</v>
          </cell>
          <cell r="AK172">
            <v>58</v>
          </cell>
          <cell r="AM172">
            <v>58</v>
          </cell>
          <cell r="AP172">
            <v>1</v>
          </cell>
          <cell r="BG172">
            <v>1</v>
          </cell>
        </row>
        <row r="173">
          <cell r="D173" t="str">
            <v>N/A</v>
          </cell>
          <cell r="E173" t="str">
            <v>Barzan</v>
          </cell>
          <cell r="F173" t="str">
            <v>Mohammed</v>
          </cell>
          <cell r="G173" t="str">
            <v>Hussein</v>
          </cell>
          <cell r="H173" t="str">
            <v>Male</v>
          </cell>
          <cell r="I173">
            <v>1993</v>
          </cell>
          <cell r="K173">
            <v>7508506224</v>
          </cell>
          <cell r="L173">
            <v>7721858288</v>
          </cell>
          <cell r="P173" t="str">
            <v>Local</v>
          </cell>
          <cell r="Q173" t="str">
            <v>First Year</v>
          </cell>
          <cell r="R173" t="str">
            <v>Martyr's Aid</v>
          </cell>
          <cell r="T173" t="str">
            <v>Pending</v>
          </cell>
          <cell r="V173" t="str">
            <v>Spring</v>
          </cell>
          <cell r="W173">
            <v>2015</v>
          </cell>
          <cell r="AF173" t="str">
            <v>Duhok</v>
          </cell>
          <cell r="AG173" t="str">
            <v>Dumis</v>
          </cell>
          <cell r="AH173">
            <v>64</v>
          </cell>
          <cell r="AK173">
            <v>64</v>
          </cell>
          <cell r="AM173">
            <v>64</v>
          </cell>
        </row>
        <row r="174">
          <cell r="D174" t="str">
            <v>N/A</v>
          </cell>
          <cell r="U174">
            <v>0</v>
          </cell>
          <cell r="AK174">
            <v>0</v>
          </cell>
          <cell r="AM174">
            <v>0</v>
          </cell>
        </row>
        <row r="175">
          <cell r="D175" t="str">
            <v>A21500014</v>
          </cell>
          <cell r="E175" t="str">
            <v>Pery</v>
          </cell>
          <cell r="F175" t="str">
            <v>Sarwar</v>
          </cell>
          <cell r="G175" t="str">
            <v>Arif</v>
          </cell>
          <cell r="H175" t="str">
            <v>Female</v>
          </cell>
          <cell r="I175">
            <v>1995</v>
          </cell>
          <cell r="J175" t="str">
            <v>Kurdish</v>
          </cell>
          <cell r="K175">
            <v>7504230568</v>
          </cell>
          <cell r="L175">
            <v>7504590080</v>
          </cell>
          <cell r="N175" t="str">
            <v>Yes</v>
          </cell>
          <cell r="O175" t="str">
            <v>No</v>
          </cell>
          <cell r="P175" t="str">
            <v>Local</v>
          </cell>
          <cell r="Q175" t="str">
            <v>First Year</v>
          </cell>
          <cell r="R175" t="str">
            <v>Regular</v>
          </cell>
          <cell r="T175" t="str">
            <v>Accepted</v>
          </cell>
          <cell r="U175">
            <v>0</v>
          </cell>
          <cell r="V175" t="str">
            <v>Spring</v>
          </cell>
          <cell r="W175">
            <v>2015</v>
          </cell>
          <cell r="X175" t="str">
            <v xml:space="preserve">Spring </v>
          </cell>
          <cell r="Y175">
            <v>2015</v>
          </cell>
          <cell r="Z175" t="str">
            <v>High School</v>
          </cell>
          <cell r="AA175">
            <v>2014</v>
          </cell>
          <cell r="AB175">
            <v>2</v>
          </cell>
          <cell r="AC175">
            <v>2</v>
          </cell>
          <cell r="AD175" t="str">
            <v>Sciences</v>
          </cell>
          <cell r="AE175" t="str">
            <v>Tava</v>
          </cell>
          <cell r="AF175" t="str">
            <v>Duhok</v>
          </cell>
          <cell r="AG175" t="str">
            <v>Diyari</v>
          </cell>
          <cell r="AH175">
            <v>55.8</v>
          </cell>
          <cell r="AK175">
            <v>55.8</v>
          </cell>
          <cell r="AM175">
            <v>55.8</v>
          </cell>
          <cell r="AP175">
            <v>2</v>
          </cell>
          <cell r="BD175">
            <v>1</v>
          </cell>
        </row>
        <row r="176">
          <cell r="D176" t="str">
            <v>00000173</v>
          </cell>
          <cell r="E176" t="str">
            <v>Walat</v>
          </cell>
          <cell r="F176" t="str">
            <v>Shawkat</v>
          </cell>
          <cell r="G176" t="str">
            <v>Abdulkareem</v>
          </cell>
          <cell r="H176" t="str">
            <v>Male</v>
          </cell>
          <cell r="I176">
            <v>1992</v>
          </cell>
          <cell r="K176">
            <v>7508978379</v>
          </cell>
          <cell r="L176">
            <v>7504354756</v>
          </cell>
          <cell r="P176" t="str">
            <v>Local</v>
          </cell>
          <cell r="Q176" t="str">
            <v>First Year</v>
          </cell>
          <cell r="R176" t="str">
            <v>Regular</v>
          </cell>
          <cell r="T176" t="str">
            <v>Accepted</v>
          </cell>
          <cell r="U176" t="str">
            <v>Withdraw</v>
          </cell>
          <cell r="V176" t="str">
            <v>Spring</v>
          </cell>
          <cell r="W176">
            <v>2015</v>
          </cell>
          <cell r="AE176" t="str">
            <v>Wan</v>
          </cell>
          <cell r="AF176" t="str">
            <v>Zakho</v>
          </cell>
          <cell r="AG176" t="str">
            <v>Sabenisan</v>
          </cell>
          <cell r="AH176">
            <v>6.1</v>
          </cell>
          <cell r="AK176">
            <v>6.1</v>
          </cell>
          <cell r="AM176">
            <v>6.1</v>
          </cell>
        </row>
        <row r="177">
          <cell r="D177" t="str">
            <v>A21500003</v>
          </cell>
          <cell r="E177" t="str">
            <v>Vager</v>
          </cell>
          <cell r="F177" t="str">
            <v>Sami</v>
          </cell>
          <cell r="G177" t="str">
            <v>Ibrahim</v>
          </cell>
          <cell r="H177" t="str">
            <v>Male</v>
          </cell>
          <cell r="I177">
            <v>1991</v>
          </cell>
          <cell r="J177" t="str">
            <v>Kurdish</v>
          </cell>
          <cell r="K177">
            <v>7504886060</v>
          </cell>
          <cell r="L177">
            <v>7512139669</v>
          </cell>
          <cell r="N177" t="str">
            <v>No</v>
          </cell>
          <cell r="O177" t="str">
            <v>No</v>
          </cell>
          <cell r="P177" t="str">
            <v>Local</v>
          </cell>
          <cell r="Q177" t="str">
            <v>First Year</v>
          </cell>
          <cell r="R177" t="str">
            <v>Regular</v>
          </cell>
          <cell r="T177" t="str">
            <v>Accepted</v>
          </cell>
          <cell r="U177">
            <v>0</v>
          </cell>
          <cell r="V177" t="str">
            <v>Spring</v>
          </cell>
          <cell r="W177">
            <v>2015</v>
          </cell>
          <cell r="X177" t="str">
            <v>Spring</v>
          </cell>
          <cell r="Y177">
            <v>2015</v>
          </cell>
          <cell r="Z177" t="str">
            <v>High School</v>
          </cell>
          <cell r="AA177">
            <v>2014</v>
          </cell>
          <cell r="AB177">
            <v>2</v>
          </cell>
          <cell r="AC177">
            <v>2</v>
          </cell>
          <cell r="AD177" t="str">
            <v>Arts</v>
          </cell>
          <cell r="AE177" t="str">
            <v>Simarx</v>
          </cell>
          <cell r="AF177" t="str">
            <v>Duhok</v>
          </cell>
          <cell r="AG177" t="str">
            <v>KRO</v>
          </cell>
          <cell r="AH177">
            <v>57.2</v>
          </cell>
          <cell r="AK177">
            <v>57.2</v>
          </cell>
          <cell r="AM177">
            <v>57.2</v>
          </cell>
          <cell r="AP177">
            <v>1</v>
          </cell>
          <cell r="BB177">
            <v>1</v>
          </cell>
        </row>
        <row r="178">
          <cell r="D178" t="str">
            <v>A21500104</v>
          </cell>
          <cell r="E178" t="str">
            <v>Diyar</v>
          </cell>
          <cell r="F178" t="str">
            <v>Salman</v>
          </cell>
          <cell r="G178" t="str">
            <v>Hassan</v>
          </cell>
          <cell r="H178" t="str">
            <v>Male</v>
          </cell>
          <cell r="I178">
            <v>1993</v>
          </cell>
          <cell r="J178" t="str">
            <v>Kurdish</v>
          </cell>
          <cell r="K178">
            <v>7507996086</v>
          </cell>
          <cell r="L178">
            <v>7504088139</v>
          </cell>
          <cell r="N178" t="str">
            <v>No</v>
          </cell>
          <cell r="O178" t="str">
            <v>No</v>
          </cell>
          <cell r="P178" t="str">
            <v>Local</v>
          </cell>
          <cell r="Q178" t="str">
            <v>First Year</v>
          </cell>
          <cell r="R178" t="str">
            <v>Regular</v>
          </cell>
          <cell r="T178" t="str">
            <v>Accepted</v>
          </cell>
          <cell r="U178">
            <v>0</v>
          </cell>
          <cell r="V178" t="str">
            <v>Spring</v>
          </cell>
          <cell r="W178">
            <v>2015</v>
          </cell>
          <cell r="X178" t="str">
            <v>Spring</v>
          </cell>
          <cell r="Y178">
            <v>2015</v>
          </cell>
          <cell r="Z178" t="str">
            <v>High School</v>
          </cell>
          <cell r="AA178">
            <v>2014</v>
          </cell>
          <cell r="AB178">
            <v>1</v>
          </cell>
          <cell r="AC178">
            <v>2</v>
          </cell>
          <cell r="AD178" t="str">
            <v>Arts</v>
          </cell>
          <cell r="AE178" t="str">
            <v>Home School</v>
          </cell>
          <cell r="AF178" t="str">
            <v>Duhok</v>
          </cell>
          <cell r="AG178" t="str">
            <v>Ronaki</v>
          </cell>
          <cell r="AH178">
            <v>55.7</v>
          </cell>
          <cell r="AK178">
            <v>55.7</v>
          </cell>
          <cell r="AM178">
            <v>55.7</v>
          </cell>
          <cell r="AP178">
            <v>1</v>
          </cell>
          <cell r="BG178">
            <v>1</v>
          </cell>
        </row>
        <row r="179">
          <cell r="D179" t="str">
            <v>A21500093</v>
          </cell>
          <cell r="E179" t="str">
            <v>Barze</v>
          </cell>
          <cell r="F179" t="str">
            <v>Ziyad</v>
          </cell>
          <cell r="G179" t="str">
            <v>Abdulkader</v>
          </cell>
          <cell r="H179" t="str">
            <v>Male</v>
          </cell>
          <cell r="I179">
            <v>1993</v>
          </cell>
          <cell r="J179" t="str">
            <v>Kurdish</v>
          </cell>
          <cell r="K179">
            <v>7504709000</v>
          </cell>
          <cell r="L179">
            <v>7504033200</v>
          </cell>
          <cell r="M179" t="str">
            <v>Barze1993@yahoo.com</v>
          </cell>
          <cell r="N179" t="str">
            <v>No</v>
          </cell>
          <cell r="O179" t="str">
            <v>No</v>
          </cell>
          <cell r="P179" t="str">
            <v>Local</v>
          </cell>
          <cell r="Q179" t="str">
            <v>First Year</v>
          </cell>
          <cell r="R179" t="str">
            <v>Regular</v>
          </cell>
          <cell r="T179" t="str">
            <v>Accepted</v>
          </cell>
          <cell r="U179">
            <v>0</v>
          </cell>
          <cell r="V179" t="str">
            <v>Spring</v>
          </cell>
          <cell r="W179">
            <v>2015</v>
          </cell>
          <cell r="X179" t="str">
            <v>Spring</v>
          </cell>
          <cell r="Y179">
            <v>2015</v>
          </cell>
          <cell r="Z179" t="str">
            <v>High School</v>
          </cell>
          <cell r="AA179">
            <v>2013</v>
          </cell>
          <cell r="AD179" t="str">
            <v>Science</v>
          </cell>
          <cell r="AF179" t="str">
            <v>Hawler</v>
          </cell>
          <cell r="AG179" t="str">
            <v>Brayati</v>
          </cell>
          <cell r="AH179">
            <v>57.8</v>
          </cell>
          <cell r="AK179">
            <v>57.8</v>
          </cell>
          <cell r="AM179">
            <v>57.8</v>
          </cell>
          <cell r="AP179">
            <v>6</v>
          </cell>
          <cell r="BB179">
            <v>1</v>
          </cell>
        </row>
        <row r="180">
          <cell r="D180" t="str">
            <v>A21500116</v>
          </cell>
          <cell r="E180" t="str">
            <v>Rani</v>
          </cell>
          <cell r="F180" t="str">
            <v>Ali</v>
          </cell>
          <cell r="G180" t="str">
            <v>Hussein</v>
          </cell>
          <cell r="H180" t="str">
            <v>Male</v>
          </cell>
          <cell r="I180">
            <v>1995</v>
          </cell>
          <cell r="J180" t="str">
            <v>Kurdish</v>
          </cell>
          <cell r="K180">
            <v>7702785158</v>
          </cell>
          <cell r="L180">
            <v>7708264243</v>
          </cell>
          <cell r="N180" t="str">
            <v>No</v>
          </cell>
          <cell r="O180" t="str">
            <v>No</v>
          </cell>
          <cell r="P180" t="str">
            <v>Local</v>
          </cell>
          <cell r="Q180" t="str">
            <v>First Year</v>
          </cell>
          <cell r="R180" t="str">
            <v>Regular</v>
          </cell>
          <cell r="T180" t="str">
            <v>Accepted</v>
          </cell>
          <cell r="U180">
            <v>0</v>
          </cell>
          <cell r="V180" t="str">
            <v>Spring</v>
          </cell>
          <cell r="W180">
            <v>2015</v>
          </cell>
          <cell r="X180" t="str">
            <v>Spring</v>
          </cell>
          <cell r="Y180">
            <v>2015</v>
          </cell>
          <cell r="Z180" t="str">
            <v>High School</v>
          </cell>
          <cell r="AA180">
            <v>2013</v>
          </cell>
          <cell r="AB180">
            <v>1</v>
          </cell>
          <cell r="AC180">
            <v>2</v>
          </cell>
          <cell r="AD180" t="str">
            <v>Science</v>
          </cell>
          <cell r="AE180" t="str">
            <v>Baashiqa</v>
          </cell>
          <cell r="AF180" t="str">
            <v>Duhok</v>
          </cell>
          <cell r="AG180" t="str">
            <v>Zari Land</v>
          </cell>
          <cell r="AH180">
            <v>57.8</v>
          </cell>
          <cell r="AK180">
            <v>57.8</v>
          </cell>
          <cell r="AM180">
            <v>57.8</v>
          </cell>
          <cell r="AP180">
            <v>3</v>
          </cell>
          <cell r="BB180">
            <v>1</v>
          </cell>
        </row>
        <row r="181">
          <cell r="D181" t="str">
            <v>N/A</v>
          </cell>
          <cell r="E181" t="str">
            <v>Ahmad</v>
          </cell>
          <cell r="F181" t="str">
            <v>Adnan</v>
          </cell>
          <cell r="G181" t="str">
            <v>Naeem</v>
          </cell>
          <cell r="H181" t="str">
            <v>Male</v>
          </cell>
          <cell r="K181">
            <v>7507353105</v>
          </cell>
          <cell r="L181">
            <v>7504432595</v>
          </cell>
          <cell r="T181" t="str">
            <v>Pending</v>
          </cell>
          <cell r="V181" t="str">
            <v>Spring</v>
          </cell>
          <cell r="W181">
            <v>2015</v>
          </cell>
          <cell r="AF181" t="str">
            <v>Zakho</v>
          </cell>
          <cell r="AG181" t="str">
            <v>Shkeft Mara</v>
          </cell>
          <cell r="AK181">
            <v>0</v>
          </cell>
          <cell r="AM181">
            <v>0</v>
          </cell>
          <cell r="AU181">
            <v>1</v>
          </cell>
        </row>
        <row r="182">
          <cell r="D182" t="str">
            <v>N/A</v>
          </cell>
          <cell r="E182" t="str">
            <v>Omar</v>
          </cell>
          <cell r="F182" t="str">
            <v>Mohamed</v>
          </cell>
          <cell r="G182" t="str">
            <v>Omar</v>
          </cell>
          <cell r="H182" t="str">
            <v>Male</v>
          </cell>
          <cell r="K182">
            <v>7507615935</v>
          </cell>
          <cell r="L182">
            <v>7501398591</v>
          </cell>
          <cell r="T182" t="str">
            <v>Pending</v>
          </cell>
          <cell r="V182" t="str">
            <v>Spring</v>
          </cell>
          <cell r="W182">
            <v>2015</v>
          </cell>
          <cell r="AF182" t="str">
            <v>Duhok</v>
          </cell>
          <cell r="AG182" t="str">
            <v>Hay Askaree</v>
          </cell>
          <cell r="AK182">
            <v>0</v>
          </cell>
          <cell r="AM182">
            <v>0</v>
          </cell>
          <cell r="AW182">
            <v>1</v>
          </cell>
        </row>
        <row r="183">
          <cell r="D183" t="str">
            <v>N/A</v>
          </cell>
          <cell r="E183" t="str">
            <v>Seev</v>
          </cell>
          <cell r="F183" t="str">
            <v>Saad</v>
          </cell>
          <cell r="G183" t="str">
            <v>Dabe</v>
          </cell>
          <cell r="K183">
            <v>7503116250</v>
          </cell>
          <cell r="L183">
            <v>7512212742</v>
          </cell>
          <cell r="T183" t="str">
            <v>Pending</v>
          </cell>
          <cell r="V183" t="str">
            <v>Spring</v>
          </cell>
          <cell r="W183">
            <v>2015</v>
          </cell>
          <cell r="AF183" t="str">
            <v>Zakho</v>
          </cell>
          <cell r="AG183" t="str">
            <v>Sike</v>
          </cell>
          <cell r="AK183">
            <v>0</v>
          </cell>
          <cell r="AM183">
            <v>0</v>
          </cell>
          <cell r="AU183">
            <v>1</v>
          </cell>
        </row>
        <row r="184">
          <cell r="D184" t="str">
            <v>A21500050</v>
          </cell>
          <cell r="E184" t="str">
            <v>Alan</v>
          </cell>
          <cell r="F184" t="str">
            <v>Mohammed</v>
          </cell>
          <cell r="G184" t="str">
            <v>Taher</v>
          </cell>
          <cell r="H184" t="str">
            <v>Male</v>
          </cell>
          <cell r="I184">
            <v>1986</v>
          </cell>
          <cell r="J184" t="str">
            <v>Kurdish</v>
          </cell>
          <cell r="K184">
            <v>7504695263</v>
          </cell>
          <cell r="L184">
            <v>7824450001</v>
          </cell>
          <cell r="N184" t="str">
            <v>No</v>
          </cell>
          <cell r="O184" t="str">
            <v>No</v>
          </cell>
          <cell r="P184" t="str">
            <v>Local</v>
          </cell>
          <cell r="Q184" t="str">
            <v>First Year</v>
          </cell>
          <cell r="R184" t="str">
            <v>Political Prisoner</v>
          </cell>
          <cell r="T184" t="str">
            <v>Accepted</v>
          </cell>
          <cell r="U184">
            <v>0</v>
          </cell>
          <cell r="V184" t="str">
            <v>Spring</v>
          </cell>
          <cell r="W184">
            <v>2015</v>
          </cell>
          <cell r="X184" t="str">
            <v>Spring</v>
          </cell>
          <cell r="Y184">
            <v>2015</v>
          </cell>
          <cell r="Z184" t="str">
            <v>High School</v>
          </cell>
          <cell r="AA184">
            <v>2007</v>
          </cell>
          <cell r="AE184" t="str">
            <v>Kawa</v>
          </cell>
          <cell r="AF184" t="str">
            <v>Duhok</v>
          </cell>
          <cell r="AG184" t="str">
            <v>Gre Base</v>
          </cell>
          <cell r="AH184">
            <v>56.7</v>
          </cell>
          <cell r="AK184">
            <v>56.7</v>
          </cell>
          <cell r="AM184">
            <v>56.7</v>
          </cell>
          <cell r="BB184">
            <v>1</v>
          </cell>
        </row>
        <row r="185">
          <cell r="D185" t="str">
            <v>A21500126</v>
          </cell>
          <cell r="E185" t="str">
            <v>Soad</v>
          </cell>
          <cell r="F185" t="str">
            <v>Abdulqader</v>
          </cell>
          <cell r="G185" t="str">
            <v>Mam</v>
          </cell>
          <cell r="H185" t="str">
            <v>Female</v>
          </cell>
          <cell r="I185">
            <v>1988</v>
          </cell>
          <cell r="K185">
            <v>7504840544</v>
          </cell>
          <cell r="L185">
            <v>7504045099</v>
          </cell>
          <cell r="N185" t="str">
            <v>No</v>
          </cell>
          <cell r="O185" t="str">
            <v>No</v>
          </cell>
          <cell r="P185" t="str">
            <v>Local</v>
          </cell>
          <cell r="Q185" t="str">
            <v>First Year</v>
          </cell>
          <cell r="R185" t="str">
            <v>Regular</v>
          </cell>
          <cell r="T185" t="str">
            <v>Accepted</v>
          </cell>
          <cell r="U185">
            <v>0</v>
          </cell>
          <cell r="V185" t="str">
            <v>Spring</v>
          </cell>
          <cell r="W185">
            <v>2015</v>
          </cell>
          <cell r="X185" t="str">
            <v>Spring</v>
          </cell>
          <cell r="Y185">
            <v>2015</v>
          </cell>
          <cell r="Z185" t="str">
            <v>High School</v>
          </cell>
          <cell r="AA185">
            <v>2008</v>
          </cell>
          <cell r="AB185">
            <v>1</v>
          </cell>
          <cell r="AC185">
            <v>2</v>
          </cell>
          <cell r="AD185" t="str">
            <v>Arts</v>
          </cell>
          <cell r="AE185" t="str">
            <v>Tanahi</v>
          </cell>
          <cell r="AF185" t="str">
            <v>Duhok</v>
          </cell>
          <cell r="AG185" t="str">
            <v>Tanahi</v>
          </cell>
          <cell r="AH185">
            <v>53.1</v>
          </cell>
          <cell r="AK185">
            <v>53.1</v>
          </cell>
          <cell r="AM185">
            <v>53.1</v>
          </cell>
          <cell r="AP185">
            <v>1</v>
          </cell>
          <cell r="BG185">
            <v>1</v>
          </cell>
        </row>
        <row r="186">
          <cell r="D186" t="str">
            <v>00000183</v>
          </cell>
          <cell r="E186" t="str">
            <v>Bland</v>
          </cell>
          <cell r="F186" t="str">
            <v>Fadhel</v>
          </cell>
          <cell r="G186" t="str">
            <v>Mustafa</v>
          </cell>
          <cell r="H186" t="str">
            <v>Male</v>
          </cell>
          <cell r="K186">
            <v>7503863929</v>
          </cell>
          <cell r="L186">
            <v>7502182626</v>
          </cell>
          <cell r="P186" t="str">
            <v>Local</v>
          </cell>
          <cell r="Q186" t="str">
            <v>First Year</v>
          </cell>
          <cell r="R186" t="str">
            <v>Regular</v>
          </cell>
          <cell r="T186" t="str">
            <v>Accepted</v>
          </cell>
          <cell r="U186" t="str">
            <v>Withdraw</v>
          </cell>
          <cell r="V186" t="str">
            <v>Spring</v>
          </cell>
          <cell r="W186">
            <v>2015</v>
          </cell>
          <cell r="AH186">
            <v>52.8</v>
          </cell>
          <cell r="AK186">
            <v>52.8</v>
          </cell>
          <cell r="AM186">
            <v>52.8</v>
          </cell>
        </row>
        <row r="187">
          <cell r="D187" t="str">
            <v>A21500059</v>
          </cell>
          <cell r="E187" t="str">
            <v>Yasir</v>
          </cell>
          <cell r="F187" t="str">
            <v>Ammar</v>
          </cell>
          <cell r="G187" t="str">
            <v>Sulaiman</v>
          </cell>
          <cell r="H187" t="str">
            <v>Male</v>
          </cell>
          <cell r="I187">
            <v>190</v>
          </cell>
          <cell r="K187" t="str">
            <v>0750 711 2662</v>
          </cell>
          <cell r="L187" t="str">
            <v>0750 7295131</v>
          </cell>
          <cell r="N187" t="str">
            <v>No</v>
          </cell>
          <cell r="O187" t="str">
            <v>No</v>
          </cell>
          <cell r="P187" t="str">
            <v>Local</v>
          </cell>
          <cell r="Q187" t="str">
            <v>First Year</v>
          </cell>
          <cell r="R187" t="str">
            <v>Regular</v>
          </cell>
          <cell r="T187" t="str">
            <v>Accepted</v>
          </cell>
          <cell r="U187" t="str">
            <v>Withdraw</v>
          </cell>
          <cell r="V187" t="str">
            <v>Spring</v>
          </cell>
          <cell r="W187">
            <v>2015</v>
          </cell>
          <cell r="X187" t="str">
            <v>Spring</v>
          </cell>
          <cell r="Y187">
            <v>2015</v>
          </cell>
          <cell r="Z187" t="str">
            <v>High School</v>
          </cell>
          <cell r="AA187">
            <v>2014</v>
          </cell>
          <cell r="AB187">
            <v>1</v>
          </cell>
          <cell r="AC187">
            <v>2</v>
          </cell>
          <cell r="AD187" t="str">
            <v>Arts</v>
          </cell>
          <cell r="AE187" t="str">
            <v>Taakhi</v>
          </cell>
          <cell r="AF187" t="str">
            <v>Duhok</v>
          </cell>
          <cell r="AG187" t="str">
            <v>Malta</v>
          </cell>
          <cell r="AH187">
            <v>53</v>
          </cell>
          <cell r="AK187">
            <v>53</v>
          </cell>
          <cell r="AM187">
            <v>53</v>
          </cell>
          <cell r="BB187">
            <v>1</v>
          </cell>
        </row>
        <row r="188">
          <cell r="D188" t="str">
            <v>N/A</v>
          </cell>
          <cell r="E188" t="str">
            <v>Amin</v>
          </cell>
          <cell r="F188" t="str">
            <v>Volkan</v>
          </cell>
          <cell r="G188" t="str">
            <v>Nadir</v>
          </cell>
          <cell r="H188" t="str">
            <v>Male</v>
          </cell>
          <cell r="K188">
            <v>7504735262</v>
          </cell>
          <cell r="L188">
            <v>7501616795</v>
          </cell>
          <cell r="T188" t="str">
            <v>Pending</v>
          </cell>
          <cell r="V188" t="str">
            <v>Spring</v>
          </cell>
          <cell r="W188">
            <v>2015</v>
          </cell>
          <cell r="AF188" t="str">
            <v>Duhok</v>
          </cell>
          <cell r="AG188" t="str">
            <v>Tanahi</v>
          </cell>
          <cell r="AK188">
            <v>0</v>
          </cell>
          <cell r="AM188">
            <v>0</v>
          </cell>
        </row>
        <row r="189">
          <cell r="D189" t="str">
            <v>A21500001</v>
          </cell>
          <cell r="E189" t="str">
            <v>Guhdar</v>
          </cell>
          <cell r="F189" t="str">
            <v>Nafea</v>
          </cell>
          <cell r="G189" t="str">
            <v>Ramadhan</v>
          </cell>
          <cell r="H189" t="str">
            <v>Male</v>
          </cell>
          <cell r="I189">
            <v>1987</v>
          </cell>
          <cell r="K189">
            <v>7504540004</v>
          </cell>
          <cell r="L189">
            <v>7507521000</v>
          </cell>
          <cell r="N189" t="str">
            <v>No</v>
          </cell>
          <cell r="O189" t="str">
            <v>No</v>
          </cell>
          <cell r="P189" t="str">
            <v>Local</v>
          </cell>
          <cell r="Q189" t="str">
            <v>First Year</v>
          </cell>
          <cell r="R189" t="str">
            <v>Regular</v>
          </cell>
          <cell r="T189" t="str">
            <v>Accepted</v>
          </cell>
          <cell r="U189">
            <v>0</v>
          </cell>
          <cell r="V189" t="str">
            <v>Spring</v>
          </cell>
          <cell r="W189">
            <v>2015</v>
          </cell>
          <cell r="X189" t="str">
            <v>Spring</v>
          </cell>
          <cell r="Y189">
            <v>2015</v>
          </cell>
          <cell r="Z189" t="str">
            <v>High School</v>
          </cell>
          <cell r="AA189">
            <v>2014</v>
          </cell>
          <cell r="AB189">
            <v>1</v>
          </cell>
          <cell r="AC189">
            <v>2</v>
          </cell>
          <cell r="AD189" t="str">
            <v>Arts</v>
          </cell>
          <cell r="AE189" t="str">
            <v>Home School</v>
          </cell>
          <cell r="AF189" t="str">
            <v>Duhok</v>
          </cell>
          <cell r="AG189" t="str">
            <v>Malta</v>
          </cell>
          <cell r="AH189">
            <v>54</v>
          </cell>
          <cell r="AK189">
            <v>54</v>
          </cell>
          <cell r="AM189">
            <v>54</v>
          </cell>
          <cell r="AP189">
            <v>1</v>
          </cell>
          <cell r="BB189">
            <v>1</v>
          </cell>
          <cell r="BG189">
            <v>2</v>
          </cell>
        </row>
        <row r="190">
          <cell r="D190" t="str">
            <v>N/A</v>
          </cell>
          <cell r="E190" t="str">
            <v>Aso</v>
          </cell>
          <cell r="F190" t="str">
            <v>Ahmed</v>
          </cell>
          <cell r="G190" t="str">
            <v>Sabir</v>
          </cell>
          <cell r="H190" t="str">
            <v>Male</v>
          </cell>
          <cell r="K190">
            <v>7504602823</v>
          </cell>
          <cell r="L190">
            <v>7504930553</v>
          </cell>
          <cell r="T190" t="str">
            <v>Pending</v>
          </cell>
          <cell r="U190" t="str">
            <v>Not Accepted</v>
          </cell>
          <cell r="V190" t="str">
            <v>Spring</v>
          </cell>
          <cell r="W190">
            <v>2015</v>
          </cell>
          <cell r="AF190" t="str">
            <v>Hawler</v>
          </cell>
          <cell r="AG190" t="str">
            <v>Havalan</v>
          </cell>
          <cell r="AK190">
            <v>0</v>
          </cell>
          <cell r="AM190">
            <v>0</v>
          </cell>
          <cell r="AU190">
            <v>3</v>
          </cell>
          <cell r="AV190">
            <v>2</v>
          </cell>
          <cell r="AW190">
            <v>1</v>
          </cell>
        </row>
        <row r="191">
          <cell r="D191" t="str">
            <v>N/A</v>
          </cell>
          <cell r="E191" t="str">
            <v>Mohammed</v>
          </cell>
          <cell r="F191" t="str">
            <v>Omar</v>
          </cell>
          <cell r="H191" t="str">
            <v>Male</v>
          </cell>
          <cell r="K191">
            <v>7503323363</v>
          </cell>
          <cell r="L191">
            <v>7504504341</v>
          </cell>
          <cell r="P191" t="str">
            <v>Local</v>
          </cell>
          <cell r="Q191" t="str">
            <v>First Year</v>
          </cell>
          <cell r="R191" t="str">
            <v>Regular</v>
          </cell>
          <cell r="U191">
            <v>0</v>
          </cell>
          <cell r="V191" t="str">
            <v>Spring</v>
          </cell>
          <cell r="W191">
            <v>2015</v>
          </cell>
          <cell r="AK191">
            <v>0</v>
          </cell>
          <cell r="AM191">
            <v>0</v>
          </cell>
        </row>
        <row r="192">
          <cell r="D192" t="str">
            <v>A21500110</v>
          </cell>
          <cell r="E192" t="str">
            <v>Alind</v>
          </cell>
          <cell r="F192" t="str">
            <v>Fawzi</v>
          </cell>
          <cell r="G192" t="str">
            <v>Jalal</v>
          </cell>
          <cell r="H192" t="str">
            <v>Male</v>
          </cell>
          <cell r="I192">
            <v>1995</v>
          </cell>
          <cell r="K192">
            <v>7504441207</v>
          </cell>
          <cell r="L192">
            <v>7507817579</v>
          </cell>
          <cell r="N192" t="str">
            <v>No</v>
          </cell>
          <cell r="O192" t="str">
            <v>No</v>
          </cell>
          <cell r="P192" t="str">
            <v>Local</v>
          </cell>
          <cell r="Q192" t="str">
            <v>First Year</v>
          </cell>
          <cell r="R192" t="str">
            <v>Regular</v>
          </cell>
          <cell r="T192" t="str">
            <v>Accepted</v>
          </cell>
          <cell r="U192">
            <v>0</v>
          </cell>
          <cell r="V192" t="str">
            <v>Spring</v>
          </cell>
          <cell r="W192">
            <v>2015</v>
          </cell>
          <cell r="X192" t="str">
            <v>Spring</v>
          </cell>
          <cell r="Y192">
            <v>2015</v>
          </cell>
          <cell r="Z192" t="str">
            <v>High School</v>
          </cell>
          <cell r="AA192">
            <v>2014</v>
          </cell>
          <cell r="AB192">
            <v>1</v>
          </cell>
          <cell r="AC192">
            <v>2</v>
          </cell>
          <cell r="AD192" t="str">
            <v>Arts</v>
          </cell>
          <cell r="AE192" t="str">
            <v>Chiya</v>
          </cell>
          <cell r="AF192" t="str">
            <v>Duhok</v>
          </cell>
          <cell r="AG192" t="str">
            <v>Hay AlAskaree</v>
          </cell>
          <cell r="AH192">
            <v>59</v>
          </cell>
          <cell r="AK192">
            <v>59</v>
          </cell>
          <cell r="AM192">
            <v>59</v>
          </cell>
          <cell r="AP192">
            <v>2</v>
          </cell>
          <cell r="AZ192">
            <v>3</v>
          </cell>
          <cell r="BB192">
            <v>2</v>
          </cell>
          <cell r="BG192">
            <v>1</v>
          </cell>
        </row>
        <row r="193">
          <cell r="D193" t="str">
            <v>A21500017</v>
          </cell>
          <cell r="E193" t="str">
            <v>Sileen</v>
          </cell>
          <cell r="F193" t="str">
            <v>Ali</v>
          </cell>
          <cell r="G193" t="str">
            <v>Hasan</v>
          </cell>
          <cell r="H193" t="str">
            <v>Male</v>
          </cell>
          <cell r="I193">
            <v>1994</v>
          </cell>
          <cell r="K193">
            <v>7504013209</v>
          </cell>
          <cell r="L193">
            <v>7509102444</v>
          </cell>
          <cell r="N193" t="str">
            <v>No</v>
          </cell>
          <cell r="O193" t="str">
            <v>No</v>
          </cell>
          <cell r="P193" t="str">
            <v>Local</v>
          </cell>
          <cell r="Q193" t="str">
            <v>First Year</v>
          </cell>
          <cell r="R193" t="str">
            <v>Martyr's Aid</v>
          </cell>
          <cell r="T193" t="str">
            <v>Accepted</v>
          </cell>
          <cell r="U193">
            <v>0</v>
          </cell>
          <cell r="V193" t="str">
            <v>Spring</v>
          </cell>
          <cell r="W193">
            <v>2015</v>
          </cell>
          <cell r="X193" t="str">
            <v>Spring</v>
          </cell>
          <cell r="Y193">
            <v>2015</v>
          </cell>
          <cell r="Z193" t="str">
            <v>High School</v>
          </cell>
          <cell r="AA193">
            <v>2014</v>
          </cell>
          <cell r="AE193" t="str">
            <v>Duhok/Evening</v>
          </cell>
          <cell r="AF193" t="str">
            <v>Duhok</v>
          </cell>
          <cell r="AG193" t="str">
            <v>Avro City</v>
          </cell>
          <cell r="AH193">
            <v>62.57</v>
          </cell>
          <cell r="AK193">
            <v>62.57</v>
          </cell>
          <cell r="AM193">
            <v>62.57</v>
          </cell>
          <cell r="AP193">
            <v>4</v>
          </cell>
          <cell r="AS193">
            <v>1</v>
          </cell>
          <cell r="BJ193">
            <v>2</v>
          </cell>
        </row>
        <row r="194">
          <cell r="D194" t="str">
            <v>N/A</v>
          </cell>
          <cell r="E194" t="str">
            <v>Heja</v>
          </cell>
          <cell r="F194" t="str">
            <v>Mardan</v>
          </cell>
          <cell r="G194" t="str">
            <v>Ahmed</v>
          </cell>
          <cell r="H194" t="str">
            <v>Male</v>
          </cell>
          <cell r="K194">
            <v>7504783985</v>
          </cell>
          <cell r="L194">
            <v>7504953990</v>
          </cell>
          <cell r="P194" t="str">
            <v>Local</v>
          </cell>
          <cell r="T194" t="str">
            <v>Pending</v>
          </cell>
          <cell r="U194" t="str">
            <v>Not Accepted</v>
          </cell>
          <cell r="V194" t="str">
            <v>Spring</v>
          </cell>
          <cell r="W194">
            <v>2015</v>
          </cell>
          <cell r="AF194" t="str">
            <v>Zakho</v>
          </cell>
          <cell r="AG194" t="str">
            <v>Gondk</v>
          </cell>
          <cell r="AK194">
            <v>0</v>
          </cell>
          <cell r="AM194">
            <v>0</v>
          </cell>
          <cell r="AY194">
            <v>1</v>
          </cell>
        </row>
        <row r="195">
          <cell r="D195" t="str">
            <v>N/A</v>
          </cell>
          <cell r="E195" t="str">
            <v>Jovan</v>
          </cell>
          <cell r="F195" t="str">
            <v>Hussein</v>
          </cell>
          <cell r="G195" t="str">
            <v>Mohamed</v>
          </cell>
          <cell r="H195" t="str">
            <v>Male</v>
          </cell>
          <cell r="K195">
            <v>7504953990</v>
          </cell>
          <cell r="L195">
            <v>7504783985</v>
          </cell>
          <cell r="P195" t="str">
            <v>Local</v>
          </cell>
          <cell r="T195" t="str">
            <v>Pending</v>
          </cell>
          <cell r="U195" t="str">
            <v>Not Accepted</v>
          </cell>
          <cell r="V195" t="str">
            <v>Spring</v>
          </cell>
          <cell r="W195">
            <v>2015</v>
          </cell>
          <cell r="AF195" t="str">
            <v>Zakho</v>
          </cell>
          <cell r="AG195" t="str">
            <v>Bedar</v>
          </cell>
          <cell r="AK195">
            <v>0</v>
          </cell>
          <cell r="AM195">
            <v>0</v>
          </cell>
          <cell r="BJ195">
            <v>1</v>
          </cell>
        </row>
        <row r="196">
          <cell r="D196" t="str">
            <v>A11500001</v>
          </cell>
          <cell r="E196" t="str">
            <v>Sarbast</v>
          </cell>
          <cell r="F196" t="str">
            <v>Mohammed</v>
          </cell>
          <cell r="G196" t="str">
            <v>Sulaiman</v>
          </cell>
          <cell r="H196" t="str">
            <v>Male</v>
          </cell>
          <cell r="K196">
            <v>7504404814</v>
          </cell>
          <cell r="L196">
            <v>7504455976</v>
          </cell>
          <cell r="N196" t="str">
            <v>No</v>
          </cell>
          <cell r="O196" t="str">
            <v>No</v>
          </cell>
          <cell r="P196" t="str">
            <v>Local</v>
          </cell>
          <cell r="Q196" t="str">
            <v>First Year</v>
          </cell>
          <cell r="R196" t="str">
            <v>Regular</v>
          </cell>
          <cell r="T196" t="str">
            <v>Accepted</v>
          </cell>
          <cell r="U196">
            <v>0</v>
          </cell>
          <cell r="V196" t="str">
            <v>Fall</v>
          </cell>
          <cell r="W196">
            <v>2015</v>
          </cell>
          <cell r="Z196" t="str">
            <v>High School</v>
          </cell>
          <cell r="AA196">
            <v>2014</v>
          </cell>
          <cell r="AE196" t="str">
            <v>Home School</v>
          </cell>
          <cell r="AF196" t="str">
            <v>Duhok</v>
          </cell>
          <cell r="AG196" t="str">
            <v>Taxe Reza</v>
          </cell>
          <cell r="AH196">
            <v>64.7</v>
          </cell>
          <cell r="AK196">
            <v>64.7</v>
          </cell>
          <cell r="AM196">
            <v>64.7</v>
          </cell>
          <cell r="AP196">
            <v>5</v>
          </cell>
          <cell r="BF196">
            <v>3</v>
          </cell>
          <cell r="BI196">
            <v>1</v>
          </cell>
          <cell r="BJ196">
            <v>2</v>
          </cell>
        </row>
        <row r="197">
          <cell r="D197" t="str">
            <v>A11500002</v>
          </cell>
          <cell r="E197" t="str">
            <v>Nazdar</v>
          </cell>
          <cell r="F197" t="str">
            <v>Faris</v>
          </cell>
          <cell r="G197" t="str">
            <v>Taher</v>
          </cell>
          <cell r="H197" t="str">
            <v>Female</v>
          </cell>
          <cell r="I197">
            <v>1995</v>
          </cell>
          <cell r="J197" t="str">
            <v>Kurdish</v>
          </cell>
          <cell r="K197" t="str">
            <v>0750 445 5084</v>
          </cell>
          <cell r="L197" t="str">
            <v>0750 752 5084</v>
          </cell>
          <cell r="N197" t="str">
            <v>No</v>
          </cell>
          <cell r="O197" t="str">
            <v>No</v>
          </cell>
          <cell r="P197" t="str">
            <v>Local</v>
          </cell>
          <cell r="Q197" t="str">
            <v>First Year</v>
          </cell>
          <cell r="R197" t="str">
            <v>Regular</v>
          </cell>
          <cell r="T197" t="str">
            <v>Accepted</v>
          </cell>
          <cell r="U197">
            <v>0</v>
          </cell>
          <cell r="V197" t="str">
            <v>Fall</v>
          </cell>
          <cell r="W197">
            <v>2015</v>
          </cell>
          <cell r="Z197" t="str">
            <v>High School</v>
          </cell>
          <cell r="AA197">
            <v>2013</v>
          </cell>
          <cell r="AB197">
            <v>2</v>
          </cell>
          <cell r="AC197">
            <v>2</v>
          </cell>
          <cell r="AD197" t="str">
            <v>Science</v>
          </cell>
          <cell r="AE197" t="str">
            <v>Jagar Khowin</v>
          </cell>
          <cell r="AF197" t="str">
            <v>Duhok</v>
          </cell>
          <cell r="AG197" t="str">
            <v>Zozan</v>
          </cell>
          <cell r="AH197">
            <v>74.5</v>
          </cell>
          <cell r="AK197">
            <v>74.5</v>
          </cell>
          <cell r="AM197">
            <v>74.5</v>
          </cell>
          <cell r="AP197">
            <v>3</v>
          </cell>
          <cell r="AW197">
            <v>1</v>
          </cell>
        </row>
        <row r="198">
          <cell r="D198" t="str">
            <v>A11500003</v>
          </cell>
          <cell r="E198" t="str">
            <v>Faris</v>
          </cell>
          <cell r="F198" t="str">
            <v>Taher</v>
          </cell>
          <cell r="G198" t="str">
            <v>Yousuf</v>
          </cell>
          <cell r="H198" t="str">
            <v>Male</v>
          </cell>
          <cell r="I198">
            <v>1972</v>
          </cell>
          <cell r="N198" t="str">
            <v>No</v>
          </cell>
          <cell r="O198" t="str">
            <v>No</v>
          </cell>
          <cell r="P198" t="str">
            <v>Local</v>
          </cell>
          <cell r="Q198" t="str">
            <v>First Year</v>
          </cell>
          <cell r="R198" t="str">
            <v>Regular</v>
          </cell>
          <cell r="T198" t="str">
            <v>Accepted</v>
          </cell>
          <cell r="U198" t="str">
            <v>Withdraw</v>
          </cell>
          <cell r="V198" t="str">
            <v>Fall</v>
          </cell>
          <cell r="W198">
            <v>2015</v>
          </cell>
          <cell r="Z198" t="str">
            <v>High School</v>
          </cell>
          <cell r="AA198">
            <v>1992</v>
          </cell>
          <cell r="AE198" t="str">
            <v>Kawe</v>
          </cell>
          <cell r="AF198" t="str">
            <v>Duhok</v>
          </cell>
          <cell r="AG198" t="str">
            <v>Zozan</v>
          </cell>
          <cell r="AH198">
            <v>95</v>
          </cell>
          <cell r="AK198">
            <v>95</v>
          </cell>
          <cell r="AM198">
            <v>95</v>
          </cell>
          <cell r="AP198">
            <v>4</v>
          </cell>
        </row>
        <row r="199">
          <cell r="D199" t="str">
            <v>A11500004</v>
          </cell>
          <cell r="E199" t="str">
            <v>Karzan</v>
          </cell>
          <cell r="F199" t="str">
            <v>Kamal</v>
          </cell>
          <cell r="G199" t="str">
            <v>Mohammed</v>
          </cell>
          <cell r="H199" t="str">
            <v>Male</v>
          </cell>
          <cell r="I199">
            <v>1997</v>
          </cell>
          <cell r="K199">
            <v>7504492856</v>
          </cell>
          <cell r="L199">
            <v>7716496666</v>
          </cell>
          <cell r="N199" t="str">
            <v>No</v>
          </cell>
          <cell r="O199" t="str">
            <v>No</v>
          </cell>
          <cell r="P199" t="str">
            <v>Local</v>
          </cell>
          <cell r="Q199" t="str">
            <v>First Year</v>
          </cell>
          <cell r="R199" t="str">
            <v>Regular</v>
          </cell>
          <cell r="T199" t="str">
            <v>Accepted</v>
          </cell>
          <cell r="U199">
            <v>0</v>
          </cell>
          <cell r="V199" t="str">
            <v>Fall</v>
          </cell>
          <cell r="W199">
            <v>2015</v>
          </cell>
          <cell r="Z199" t="str">
            <v>High School</v>
          </cell>
          <cell r="AA199">
            <v>2014</v>
          </cell>
          <cell r="AE199" t="str">
            <v>Taakhi</v>
          </cell>
          <cell r="AF199" t="str">
            <v>Duhok</v>
          </cell>
          <cell r="AG199" t="str">
            <v>Avro City</v>
          </cell>
          <cell r="AH199">
            <v>57</v>
          </cell>
          <cell r="AK199">
            <v>57</v>
          </cell>
          <cell r="AM199">
            <v>57</v>
          </cell>
          <cell r="AP199">
            <v>0</v>
          </cell>
          <cell r="BB199">
            <v>1</v>
          </cell>
        </row>
        <row r="200">
          <cell r="D200" t="str">
            <v>A11500005</v>
          </cell>
          <cell r="E200" t="str">
            <v>Bihnam</v>
          </cell>
          <cell r="F200" t="str">
            <v>Jalal</v>
          </cell>
          <cell r="G200" t="str">
            <v>M. Sadeeq</v>
          </cell>
          <cell r="K200">
            <v>7504888081</v>
          </cell>
          <cell r="T200" t="str">
            <v>Pending</v>
          </cell>
          <cell r="V200" t="str">
            <v>Fall</v>
          </cell>
          <cell r="W200">
            <v>2015</v>
          </cell>
          <cell r="AK200">
            <v>0</v>
          </cell>
          <cell r="AM200">
            <v>0</v>
          </cell>
          <cell r="AP200">
            <v>0</v>
          </cell>
        </row>
        <row r="201">
          <cell r="D201" t="str">
            <v>A11500006</v>
          </cell>
          <cell r="E201" t="str">
            <v>Amenah</v>
          </cell>
          <cell r="F201" t="str">
            <v>Ahmed</v>
          </cell>
          <cell r="G201" t="str">
            <v>Mustafa</v>
          </cell>
          <cell r="H201" t="str">
            <v>Female</v>
          </cell>
          <cell r="I201">
            <v>1995</v>
          </cell>
          <cell r="K201" t="str">
            <v>0771 481 0089</v>
          </cell>
          <cell r="L201" t="str">
            <v>0751 015 9034</v>
          </cell>
          <cell r="N201" t="str">
            <v>Yes</v>
          </cell>
          <cell r="O201" t="str">
            <v>No</v>
          </cell>
          <cell r="P201" t="str">
            <v>Local</v>
          </cell>
          <cell r="Q201" t="str">
            <v>First Year</v>
          </cell>
          <cell r="R201" t="str">
            <v>Regular</v>
          </cell>
          <cell r="T201" t="str">
            <v>Accepted</v>
          </cell>
          <cell r="U201">
            <v>0</v>
          </cell>
          <cell r="V201" t="str">
            <v>Fall</v>
          </cell>
          <cell r="W201">
            <v>2015</v>
          </cell>
          <cell r="Z201" t="str">
            <v>High School</v>
          </cell>
          <cell r="AA201">
            <v>2012</v>
          </cell>
          <cell r="AE201" t="str">
            <v>Bader</v>
          </cell>
          <cell r="AF201" t="str">
            <v>Duhok</v>
          </cell>
          <cell r="AG201" t="str">
            <v>Avro City</v>
          </cell>
          <cell r="AH201">
            <v>83.1</v>
          </cell>
          <cell r="AK201">
            <v>83.1</v>
          </cell>
          <cell r="AM201">
            <v>83.1</v>
          </cell>
          <cell r="AP201">
            <v>2</v>
          </cell>
          <cell r="AZ201">
            <v>1</v>
          </cell>
        </row>
        <row r="202">
          <cell r="D202" t="str">
            <v>A11500007</v>
          </cell>
          <cell r="E202" t="str">
            <v>Haya</v>
          </cell>
          <cell r="F202" t="str">
            <v>Basheer</v>
          </cell>
          <cell r="G202" t="str">
            <v>Ahmed</v>
          </cell>
          <cell r="H202" t="str">
            <v>Female</v>
          </cell>
          <cell r="I202">
            <v>1995</v>
          </cell>
          <cell r="J202" t="str">
            <v>Kurdish</v>
          </cell>
          <cell r="K202" t="str">
            <v>0750 1821352</v>
          </cell>
          <cell r="M202" t="str">
            <v>basheeralshekh@gmail.com</v>
          </cell>
          <cell r="N202" t="str">
            <v>No</v>
          </cell>
          <cell r="O202" t="str">
            <v>No</v>
          </cell>
          <cell r="P202" t="str">
            <v>Local</v>
          </cell>
          <cell r="Q202" t="str">
            <v>First Year</v>
          </cell>
          <cell r="R202" t="str">
            <v>Regular</v>
          </cell>
          <cell r="T202" t="str">
            <v>Accepted</v>
          </cell>
          <cell r="U202">
            <v>0</v>
          </cell>
          <cell r="V202" t="str">
            <v>Fall</v>
          </cell>
          <cell r="W202" t="str">
            <v>2015</v>
          </cell>
          <cell r="Z202" t="str">
            <v>High School</v>
          </cell>
          <cell r="AA202">
            <v>2014</v>
          </cell>
          <cell r="AB202">
            <v>1</v>
          </cell>
          <cell r="AC202">
            <v>2</v>
          </cell>
          <cell r="AD202" t="str">
            <v>Science</v>
          </cell>
          <cell r="AE202" t="str">
            <v>Awaz</v>
          </cell>
          <cell r="AF202" t="str">
            <v>Duhok</v>
          </cell>
          <cell r="AG202" t="str">
            <v>KRO</v>
          </cell>
          <cell r="AH202">
            <v>61</v>
          </cell>
          <cell r="AK202">
            <v>61</v>
          </cell>
          <cell r="AM202">
            <v>61</v>
          </cell>
          <cell r="AP202">
            <v>5</v>
          </cell>
          <cell r="BJ202">
            <v>1</v>
          </cell>
        </row>
        <row r="203">
          <cell r="D203" t="str">
            <v>A11500008</v>
          </cell>
          <cell r="E203" t="str">
            <v xml:space="preserve">Eldad </v>
          </cell>
          <cell r="F203" t="str">
            <v>Yatron</v>
          </cell>
          <cell r="G203" t="str">
            <v>Zaya</v>
          </cell>
          <cell r="H203" t="str">
            <v>Male</v>
          </cell>
          <cell r="I203">
            <v>1995</v>
          </cell>
          <cell r="J203" t="str">
            <v>Kurdish</v>
          </cell>
          <cell r="K203" t="str">
            <v>0750 774 2144</v>
          </cell>
          <cell r="M203" t="str">
            <v>eldad.yarton.shmuel@gmail.com</v>
          </cell>
          <cell r="N203" t="str">
            <v>No</v>
          </cell>
          <cell r="O203" t="str">
            <v>No</v>
          </cell>
          <cell r="P203" t="str">
            <v>Local</v>
          </cell>
          <cell r="Q203" t="str">
            <v>First Year</v>
          </cell>
          <cell r="R203" t="str">
            <v>Regular</v>
          </cell>
          <cell r="T203" t="str">
            <v>Accepted</v>
          </cell>
          <cell r="U203">
            <v>0</v>
          </cell>
          <cell r="V203" t="str">
            <v>Fall</v>
          </cell>
          <cell r="W203" t="str">
            <v>2015</v>
          </cell>
          <cell r="Z203" t="str">
            <v>High School</v>
          </cell>
          <cell r="AA203">
            <v>2013</v>
          </cell>
          <cell r="AB203">
            <v>1</v>
          </cell>
          <cell r="AC203">
            <v>2</v>
          </cell>
          <cell r="AD203" t="str">
            <v>Science</v>
          </cell>
          <cell r="AE203" t="str">
            <v>Al- Taakhi</v>
          </cell>
          <cell r="AF203" t="str">
            <v>Duhok</v>
          </cell>
          <cell r="AG203" t="str">
            <v>Gre Base</v>
          </cell>
          <cell r="AH203">
            <v>71</v>
          </cell>
          <cell r="AK203">
            <v>71</v>
          </cell>
          <cell r="AM203">
            <v>71</v>
          </cell>
          <cell r="AP203">
            <v>7</v>
          </cell>
          <cell r="BJ203">
            <v>1</v>
          </cell>
        </row>
        <row r="204">
          <cell r="D204" t="str">
            <v>A11500009</v>
          </cell>
          <cell r="E204" t="str">
            <v>Avahi</v>
          </cell>
          <cell r="F204" t="str">
            <v>Ghufran</v>
          </cell>
          <cell r="G204" t="str">
            <v>Barzani</v>
          </cell>
          <cell r="H204" t="str">
            <v>Female</v>
          </cell>
          <cell r="I204">
            <v>1997</v>
          </cell>
          <cell r="J204" t="str">
            <v>Kurdish</v>
          </cell>
          <cell r="K204" t="str">
            <v>0750 834 8787</v>
          </cell>
          <cell r="L204" t="str">
            <v>0750 481 7418</v>
          </cell>
          <cell r="N204" t="str">
            <v>No</v>
          </cell>
          <cell r="O204" t="str">
            <v>No</v>
          </cell>
          <cell r="P204" t="str">
            <v>Local</v>
          </cell>
          <cell r="Q204" t="str">
            <v>First Year</v>
          </cell>
          <cell r="R204" t="str">
            <v>Regular</v>
          </cell>
          <cell r="T204" t="str">
            <v>Accepted</v>
          </cell>
          <cell r="U204">
            <v>0</v>
          </cell>
          <cell r="V204" t="str">
            <v>Fall</v>
          </cell>
          <cell r="W204" t="str">
            <v>2015</v>
          </cell>
          <cell r="Z204" t="str">
            <v>High School</v>
          </cell>
          <cell r="AA204">
            <v>2015</v>
          </cell>
          <cell r="AB204">
            <v>1</v>
          </cell>
          <cell r="AC204">
            <v>1</v>
          </cell>
          <cell r="AD204" t="str">
            <v>Science</v>
          </cell>
          <cell r="AE204" t="str">
            <v>Ishik</v>
          </cell>
          <cell r="AF204" t="str">
            <v>Duhok</v>
          </cell>
          <cell r="AG204" t="str">
            <v>KRO</v>
          </cell>
          <cell r="AH204">
            <v>59.6</v>
          </cell>
          <cell r="AK204">
            <v>59.6</v>
          </cell>
          <cell r="AL204">
            <v>3</v>
          </cell>
          <cell r="AM204">
            <v>62.6</v>
          </cell>
          <cell r="AP204">
            <v>0</v>
          </cell>
          <cell r="AT204">
            <v>1</v>
          </cell>
          <cell r="AW204">
            <v>3</v>
          </cell>
          <cell r="BJ204">
            <v>2</v>
          </cell>
        </row>
        <row r="205">
          <cell r="D205" t="str">
            <v>A11500010</v>
          </cell>
          <cell r="E205" t="str">
            <v>Laila</v>
          </cell>
          <cell r="F205" t="str">
            <v>Niho</v>
          </cell>
          <cell r="G205" t="str">
            <v>Hasan</v>
          </cell>
          <cell r="H205" t="str">
            <v>Female</v>
          </cell>
          <cell r="K205" t="str">
            <v>0750 450 2023</v>
          </cell>
          <cell r="L205" t="str">
            <v>0750 480 0636</v>
          </cell>
          <cell r="P205" t="str">
            <v>Local</v>
          </cell>
          <cell r="Q205" t="str">
            <v>First Year</v>
          </cell>
          <cell r="R205" t="str">
            <v>Political Prisoner</v>
          </cell>
          <cell r="T205" t="str">
            <v>Pending</v>
          </cell>
          <cell r="V205" t="str">
            <v>Fall</v>
          </cell>
          <cell r="W205" t="str">
            <v>2015</v>
          </cell>
          <cell r="AK205">
            <v>0</v>
          </cell>
          <cell r="AM205">
            <v>0</v>
          </cell>
          <cell r="AP205">
            <v>0</v>
          </cell>
        </row>
        <row r="206">
          <cell r="D206" t="str">
            <v>A11500011</v>
          </cell>
          <cell r="E206" t="str">
            <v>Ziyad</v>
          </cell>
          <cell r="F206" t="str">
            <v>Saeed</v>
          </cell>
          <cell r="G206" t="str">
            <v>Mohammed</v>
          </cell>
          <cell r="H206" t="str">
            <v>Male</v>
          </cell>
          <cell r="I206">
            <v>1993</v>
          </cell>
          <cell r="J206" t="str">
            <v>Kurdish</v>
          </cell>
          <cell r="K206" t="str">
            <v>0750 834 3364</v>
          </cell>
          <cell r="L206" t="str">
            <v>0750 463 5595</v>
          </cell>
          <cell r="N206" t="str">
            <v>Yes</v>
          </cell>
          <cell r="O206" t="str">
            <v>Yes</v>
          </cell>
          <cell r="P206" t="str">
            <v>Local</v>
          </cell>
          <cell r="Q206" t="str">
            <v>First Year</v>
          </cell>
          <cell r="R206" t="str">
            <v>Political Prisoner</v>
          </cell>
          <cell r="T206" t="str">
            <v>Accepted</v>
          </cell>
          <cell r="U206">
            <v>0</v>
          </cell>
          <cell r="V206" t="str">
            <v>Fall</v>
          </cell>
          <cell r="W206" t="str">
            <v>2015</v>
          </cell>
          <cell r="Z206" t="str">
            <v>High School</v>
          </cell>
          <cell r="AA206">
            <v>2015</v>
          </cell>
          <cell r="AB206">
            <v>2</v>
          </cell>
          <cell r="AC206">
            <v>1</v>
          </cell>
          <cell r="AD206" t="str">
            <v>Science</v>
          </cell>
          <cell r="AE206" t="str">
            <v>Kalhe</v>
          </cell>
          <cell r="AF206" t="str">
            <v>Semel</v>
          </cell>
          <cell r="AG206" t="str">
            <v>Sumel</v>
          </cell>
          <cell r="AH206">
            <v>61.7</v>
          </cell>
          <cell r="AK206">
            <v>61.7</v>
          </cell>
          <cell r="AM206">
            <v>61.7</v>
          </cell>
          <cell r="AP206">
            <v>1</v>
          </cell>
          <cell r="AS206">
            <v>1</v>
          </cell>
        </row>
        <row r="207">
          <cell r="D207" t="str">
            <v>A11500012</v>
          </cell>
          <cell r="E207" t="str">
            <v>Ehab</v>
          </cell>
          <cell r="F207" t="str">
            <v>Tahseen</v>
          </cell>
          <cell r="G207" t="str">
            <v>Tawfeeq</v>
          </cell>
          <cell r="H207" t="str">
            <v>Male</v>
          </cell>
          <cell r="I207">
            <v>1995</v>
          </cell>
          <cell r="J207" t="str">
            <v>Kurdish</v>
          </cell>
          <cell r="K207" t="str">
            <v>0750 433 1977</v>
          </cell>
          <cell r="L207" t="str">
            <v>0750 469 7898</v>
          </cell>
          <cell r="N207" t="str">
            <v>No</v>
          </cell>
          <cell r="O207" t="str">
            <v>No</v>
          </cell>
          <cell r="P207" t="str">
            <v>Local</v>
          </cell>
          <cell r="Q207" t="str">
            <v>First Year</v>
          </cell>
          <cell r="R207" t="str">
            <v>Martyr's Aid</v>
          </cell>
          <cell r="T207" t="str">
            <v>Accepted</v>
          </cell>
          <cell r="U207">
            <v>0</v>
          </cell>
          <cell r="V207" t="str">
            <v>Fall</v>
          </cell>
          <cell r="W207" t="str">
            <v>2015</v>
          </cell>
          <cell r="Z207" t="str">
            <v>High School</v>
          </cell>
          <cell r="AA207">
            <v>2015</v>
          </cell>
          <cell r="AB207">
            <v>3</v>
          </cell>
          <cell r="AC207">
            <v>1</v>
          </cell>
          <cell r="AD207" t="str">
            <v>Science</v>
          </cell>
          <cell r="AE207" t="str">
            <v>Brayati</v>
          </cell>
          <cell r="AF207" t="str">
            <v>Duhok</v>
          </cell>
          <cell r="AH207">
            <v>67.400000000000006</v>
          </cell>
          <cell r="AK207">
            <v>67.400000000000006</v>
          </cell>
          <cell r="AM207">
            <v>67.400000000000006</v>
          </cell>
          <cell r="AP207">
            <v>0</v>
          </cell>
          <cell r="BG207">
            <v>1</v>
          </cell>
        </row>
        <row r="208">
          <cell r="D208" t="str">
            <v>A11500013</v>
          </cell>
          <cell r="E208" t="str">
            <v>Tania</v>
          </cell>
          <cell r="F208" t="str">
            <v>Jonaid</v>
          </cell>
          <cell r="G208" t="str">
            <v>Saleh</v>
          </cell>
          <cell r="H208" t="str">
            <v>Female</v>
          </cell>
          <cell r="I208">
            <v>1995</v>
          </cell>
          <cell r="J208" t="str">
            <v>Kurdish</v>
          </cell>
          <cell r="K208" t="str">
            <v>0750 340 5884</v>
          </cell>
          <cell r="L208" t="str">
            <v>0750 421 0642</v>
          </cell>
          <cell r="N208" t="str">
            <v>Yes</v>
          </cell>
          <cell r="O208" t="str">
            <v>Yes</v>
          </cell>
          <cell r="P208" t="str">
            <v>International</v>
          </cell>
          <cell r="Q208" t="str">
            <v>First Year</v>
          </cell>
          <cell r="R208" t="str">
            <v>Regular</v>
          </cell>
          <cell r="T208" t="str">
            <v>Accepted</v>
          </cell>
          <cell r="U208">
            <v>0</v>
          </cell>
          <cell r="V208" t="str">
            <v>Fall</v>
          </cell>
          <cell r="W208" t="str">
            <v>2015</v>
          </cell>
          <cell r="Z208" t="str">
            <v>High School</v>
          </cell>
          <cell r="AA208">
            <v>2014</v>
          </cell>
          <cell r="AD208" t="str">
            <v>Arts</v>
          </cell>
          <cell r="AE208" t="str">
            <v>Rosenvilde</v>
          </cell>
          <cell r="AF208" t="str">
            <v>Zakho</v>
          </cell>
          <cell r="AG208" t="str">
            <v>Ashe Cheme</v>
          </cell>
          <cell r="AH208">
            <v>88.8</v>
          </cell>
          <cell r="AK208">
            <v>88.8</v>
          </cell>
          <cell r="AM208">
            <v>88.8</v>
          </cell>
          <cell r="AN208" t="str">
            <v>91</v>
          </cell>
          <cell r="AP208">
            <v>8</v>
          </cell>
          <cell r="BJ208">
            <v>1</v>
          </cell>
        </row>
        <row r="209">
          <cell r="D209" t="str">
            <v>A11500014</v>
          </cell>
          <cell r="E209" t="str">
            <v>Hadar</v>
          </cell>
          <cell r="F209" t="str">
            <v>Taher</v>
          </cell>
          <cell r="G209" t="str">
            <v>Ahmed</v>
          </cell>
          <cell r="H209" t="str">
            <v>Female</v>
          </cell>
          <cell r="I209">
            <v>1972</v>
          </cell>
          <cell r="J209" t="str">
            <v>Kurdish</v>
          </cell>
          <cell r="K209" t="str">
            <v>0750 446 1410</v>
          </cell>
          <cell r="L209" t="str">
            <v>0750 446 1411</v>
          </cell>
          <cell r="N209" t="str">
            <v>No</v>
          </cell>
          <cell r="O209" t="str">
            <v>No</v>
          </cell>
          <cell r="P209" t="str">
            <v>Local</v>
          </cell>
          <cell r="Q209" t="str">
            <v>First Year</v>
          </cell>
          <cell r="R209" t="str">
            <v>Martyr's Aid</v>
          </cell>
          <cell r="T209" t="str">
            <v>Accepted</v>
          </cell>
          <cell r="U209">
            <v>0</v>
          </cell>
          <cell r="V209" t="str">
            <v>Fall</v>
          </cell>
          <cell r="W209" t="str">
            <v>2015</v>
          </cell>
          <cell r="Z209" t="str">
            <v>High School</v>
          </cell>
          <cell r="AA209">
            <v>2015</v>
          </cell>
          <cell r="AE209" t="str">
            <v>Home School</v>
          </cell>
          <cell r="AF209" t="str">
            <v>Duhok</v>
          </cell>
          <cell r="AG209" t="str">
            <v>Grebase</v>
          </cell>
          <cell r="AH209">
            <v>62.3</v>
          </cell>
          <cell r="AK209">
            <v>62.3</v>
          </cell>
          <cell r="AM209">
            <v>62.3</v>
          </cell>
          <cell r="AP209">
            <v>1</v>
          </cell>
          <cell r="BJ209">
            <v>1</v>
          </cell>
        </row>
        <row r="210">
          <cell r="D210" t="str">
            <v>A11500015</v>
          </cell>
          <cell r="E210" t="str">
            <v>Kiman</v>
          </cell>
          <cell r="F210" t="str">
            <v>Yousef</v>
          </cell>
          <cell r="G210" t="str">
            <v>Omer</v>
          </cell>
          <cell r="H210" t="str">
            <v>Male</v>
          </cell>
          <cell r="I210">
            <v>1996</v>
          </cell>
          <cell r="J210" t="str">
            <v>Kurdish</v>
          </cell>
          <cell r="K210" t="str">
            <v>0750 736 0070</v>
          </cell>
          <cell r="L210" t="str">
            <v>0750 445 7892</v>
          </cell>
          <cell r="N210" t="str">
            <v>No</v>
          </cell>
          <cell r="O210" t="str">
            <v>No</v>
          </cell>
          <cell r="P210" t="str">
            <v>Local</v>
          </cell>
          <cell r="Q210" t="str">
            <v>First Year</v>
          </cell>
          <cell r="T210" t="str">
            <v>Accepted</v>
          </cell>
          <cell r="U210">
            <v>0</v>
          </cell>
          <cell r="V210" t="str">
            <v>Fall</v>
          </cell>
          <cell r="W210" t="str">
            <v>2015</v>
          </cell>
          <cell r="Z210" t="str">
            <v>High School</v>
          </cell>
          <cell r="AA210">
            <v>2015</v>
          </cell>
          <cell r="AB210">
            <v>1</v>
          </cell>
          <cell r="AC210">
            <v>1</v>
          </cell>
          <cell r="AD210" t="str">
            <v>Science</v>
          </cell>
          <cell r="AE210" t="str">
            <v>Vazheen</v>
          </cell>
          <cell r="AF210" t="str">
            <v>Zakho</v>
          </cell>
          <cell r="AG210" t="str">
            <v>Ashti</v>
          </cell>
          <cell r="AH210">
            <v>60</v>
          </cell>
          <cell r="AK210">
            <v>60</v>
          </cell>
          <cell r="AM210">
            <v>60</v>
          </cell>
          <cell r="AP210">
            <v>3</v>
          </cell>
          <cell r="BB210">
            <v>1</v>
          </cell>
        </row>
        <row r="211">
          <cell r="D211" t="str">
            <v>A11500016</v>
          </cell>
          <cell r="E211" t="str">
            <v>Rawan</v>
          </cell>
          <cell r="F211" t="str">
            <v>Ahmed</v>
          </cell>
          <cell r="G211" t="str">
            <v>Tawfeeq</v>
          </cell>
          <cell r="H211" t="str">
            <v>Female</v>
          </cell>
          <cell r="I211">
            <v>1995</v>
          </cell>
          <cell r="J211" t="str">
            <v>Kurdish</v>
          </cell>
          <cell r="K211" t="str">
            <v>0750 494 4737</v>
          </cell>
          <cell r="L211" t="str">
            <v>0751 140 5066</v>
          </cell>
          <cell r="N211" t="str">
            <v>Yes</v>
          </cell>
          <cell r="O211" t="str">
            <v>No</v>
          </cell>
          <cell r="P211" t="str">
            <v>Local</v>
          </cell>
          <cell r="Q211" t="str">
            <v>First Year</v>
          </cell>
          <cell r="R211" t="str">
            <v>Regular</v>
          </cell>
          <cell r="T211" t="str">
            <v>Accepted</v>
          </cell>
          <cell r="U211" t="str">
            <v>Withdraw</v>
          </cell>
          <cell r="V211" t="str">
            <v>Fall</v>
          </cell>
          <cell r="W211" t="str">
            <v>2015</v>
          </cell>
          <cell r="Z211" t="str">
            <v>High School</v>
          </cell>
          <cell r="AA211">
            <v>2015</v>
          </cell>
          <cell r="AB211">
            <v>2</v>
          </cell>
          <cell r="AC211">
            <v>2</v>
          </cell>
          <cell r="AD211" t="str">
            <v>Science</v>
          </cell>
          <cell r="AE211" t="str">
            <v>Nilufer</v>
          </cell>
          <cell r="AF211" t="str">
            <v>Hawler</v>
          </cell>
          <cell r="AG211" t="str">
            <v>Dream City</v>
          </cell>
          <cell r="AH211">
            <v>60.6</v>
          </cell>
          <cell r="AK211">
            <v>60.6</v>
          </cell>
          <cell r="AM211">
            <v>60.6</v>
          </cell>
          <cell r="AP211">
            <v>0</v>
          </cell>
          <cell r="AW211">
            <v>1</v>
          </cell>
        </row>
        <row r="212">
          <cell r="D212" t="str">
            <v>A11500017</v>
          </cell>
          <cell r="E212" t="str">
            <v>Mohammed</v>
          </cell>
          <cell r="F212" t="str">
            <v>Fareeq</v>
          </cell>
          <cell r="G212" t="str">
            <v>Mohammed Saleem</v>
          </cell>
          <cell r="H212" t="str">
            <v>Male</v>
          </cell>
          <cell r="I212">
            <v>1995</v>
          </cell>
          <cell r="J212" t="str">
            <v>Kurdish</v>
          </cell>
          <cell r="K212" t="str">
            <v>0750 403 2123</v>
          </cell>
          <cell r="L212" t="str">
            <v>0750 450 1461</v>
          </cell>
          <cell r="N212" t="str">
            <v>No</v>
          </cell>
          <cell r="O212" t="str">
            <v>No</v>
          </cell>
          <cell r="P212" t="str">
            <v>Local</v>
          </cell>
          <cell r="Q212" t="str">
            <v>First Year</v>
          </cell>
          <cell r="R212" t="str">
            <v>Regular</v>
          </cell>
          <cell r="T212" t="str">
            <v>Accepted</v>
          </cell>
          <cell r="U212">
            <v>0</v>
          </cell>
          <cell r="V212" t="str">
            <v>Fall</v>
          </cell>
          <cell r="W212" t="str">
            <v>2015</v>
          </cell>
          <cell r="Z212" t="str">
            <v>High School</v>
          </cell>
          <cell r="AA212">
            <v>2015</v>
          </cell>
          <cell r="AB212">
            <v>2</v>
          </cell>
          <cell r="AC212">
            <v>1</v>
          </cell>
          <cell r="AD212" t="str">
            <v>Science</v>
          </cell>
          <cell r="AE212" t="str">
            <v>Kawa</v>
          </cell>
          <cell r="AF212" t="str">
            <v>Duhok</v>
          </cell>
          <cell r="AG212" t="str">
            <v>Azadi Street</v>
          </cell>
          <cell r="AH212">
            <v>62.8</v>
          </cell>
          <cell r="AK212">
            <v>62.8</v>
          </cell>
          <cell r="AM212">
            <v>62.8</v>
          </cell>
          <cell r="AP212">
            <v>2</v>
          </cell>
          <cell r="AW212">
            <v>1</v>
          </cell>
        </row>
        <row r="213">
          <cell r="D213" t="str">
            <v>A11500018</v>
          </cell>
          <cell r="E213" t="str">
            <v>Huzni</v>
          </cell>
          <cell r="F213" t="str">
            <v>Mohammed</v>
          </cell>
          <cell r="G213" t="str">
            <v>Ali</v>
          </cell>
          <cell r="H213" t="str">
            <v>Male</v>
          </cell>
          <cell r="I213">
            <v>1986</v>
          </cell>
          <cell r="J213" t="str">
            <v>Kurdish</v>
          </cell>
          <cell r="K213" t="str">
            <v>0750 459 3389</v>
          </cell>
          <cell r="L213" t="str">
            <v>0782 457 0708</v>
          </cell>
          <cell r="N213" t="str">
            <v>No</v>
          </cell>
          <cell r="O213" t="str">
            <v>No</v>
          </cell>
          <cell r="P213" t="str">
            <v>Local</v>
          </cell>
          <cell r="Q213" t="str">
            <v>First Year</v>
          </cell>
          <cell r="R213" t="str">
            <v>Political Prisoner</v>
          </cell>
          <cell r="T213" t="str">
            <v>Accepted</v>
          </cell>
          <cell r="U213">
            <v>0</v>
          </cell>
          <cell r="V213" t="str">
            <v>Fall</v>
          </cell>
          <cell r="W213" t="str">
            <v>2015</v>
          </cell>
          <cell r="Z213" t="str">
            <v>High School</v>
          </cell>
          <cell r="AA213">
            <v>2010</v>
          </cell>
          <cell r="AE213" t="str">
            <v>Sumel</v>
          </cell>
          <cell r="AF213" t="str">
            <v>Semel</v>
          </cell>
          <cell r="AG213" t="str">
            <v>Mesirki</v>
          </cell>
          <cell r="AH213">
            <v>61.3</v>
          </cell>
          <cell r="AK213">
            <v>61.3</v>
          </cell>
          <cell r="AM213">
            <v>61.3</v>
          </cell>
          <cell r="AP213">
            <v>1</v>
          </cell>
          <cell r="BJ213">
            <v>1</v>
          </cell>
        </row>
        <row r="214">
          <cell r="D214" t="str">
            <v>A11500019</v>
          </cell>
          <cell r="E214" t="str">
            <v>Goraz</v>
          </cell>
          <cell r="F214" t="str">
            <v>Halgord</v>
          </cell>
          <cell r="G214" t="str">
            <v>Ridha</v>
          </cell>
          <cell r="H214" t="str">
            <v>Male</v>
          </cell>
          <cell r="I214">
            <v>1996</v>
          </cell>
          <cell r="J214" t="str">
            <v>Kurdish</v>
          </cell>
          <cell r="K214" t="str">
            <v xml:space="preserve">0750 474 7365 </v>
          </cell>
          <cell r="L214" t="str">
            <v>0750 445 5674</v>
          </cell>
          <cell r="N214" t="str">
            <v>No</v>
          </cell>
          <cell r="O214" t="str">
            <v>Yes</v>
          </cell>
          <cell r="P214" t="str">
            <v>Local</v>
          </cell>
          <cell r="Q214" t="str">
            <v>First Year</v>
          </cell>
          <cell r="R214" t="str">
            <v>Political Prisoner</v>
          </cell>
          <cell r="T214" t="str">
            <v>Accepted</v>
          </cell>
          <cell r="U214">
            <v>0</v>
          </cell>
          <cell r="V214" t="str">
            <v>Fall</v>
          </cell>
          <cell r="W214" t="str">
            <v>2015</v>
          </cell>
          <cell r="Z214" t="str">
            <v>High School</v>
          </cell>
          <cell r="AA214">
            <v>2015</v>
          </cell>
          <cell r="AD214" t="str">
            <v>Arts</v>
          </cell>
          <cell r="AE214" t="str">
            <v>Sharmin</v>
          </cell>
          <cell r="AF214" t="str">
            <v>Duhok</v>
          </cell>
          <cell r="AG214" t="str">
            <v>Dabin</v>
          </cell>
          <cell r="AH214">
            <v>66.400000000000006</v>
          </cell>
          <cell r="AK214">
            <v>66.400000000000006</v>
          </cell>
          <cell r="AM214">
            <v>66.400000000000006</v>
          </cell>
          <cell r="AP214">
            <v>2</v>
          </cell>
          <cell r="BG214">
            <v>1</v>
          </cell>
        </row>
        <row r="215">
          <cell r="D215" t="str">
            <v>A11500020</v>
          </cell>
          <cell r="E215" t="str">
            <v>Haton</v>
          </cell>
          <cell r="F215" t="str">
            <v>Amer</v>
          </cell>
          <cell r="G215" t="str">
            <v>Abdulfattah</v>
          </cell>
          <cell r="H215" t="str">
            <v>Female</v>
          </cell>
          <cell r="I215">
            <v>1996</v>
          </cell>
          <cell r="K215" t="str">
            <v>0751 234 9068</v>
          </cell>
          <cell r="L215" t="str">
            <v>0770 174 4554</v>
          </cell>
          <cell r="N215" t="str">
            <v>Yes</v>
          </cell>
          <cell r="O215" t="str">
            <v>Yes</v>
          </cell>
          <cell r="P215" t="str">
            <v>Local</v>
          </cell>
          <cell r="Q215" t="str">
            <v>First Year</v>
          </cell>
          <cell r="R215" t="str">
            <v>Regular</v>
          </cell>
          <cell r="T215" t="str">
            <v>Accepted</v>
          </cell>
          <cell r="U215">
            <v>0</v>
          </cell>
          <cell r="V215" t="str">
            <v>Fall</v>
          </cell>
          <cell r="W215" t="str">
            <v>2015</v>
          </cell>
          <cell r="Z215" t="str">
            <v>High School</v>
          </cell>
          <cell r="AA215">
            <v>2014</v>
          </cell>
          <cell r="AE215" t="str">
            <v>Al Rafidan</v>
          </cell>
          <cell r="AF215" t="str">
            <v>Tanahi</v>
          </cell>
          <cell r="AG215" t="str">
            <v>Rami Land</v>
          </cell>
          <cell r="AH215">
            <v>76</v>
          </cell>
          <cell r="AK215">
            <v>76</v>
          </cell>
          <cell r="AM215">
            <v>76</v>
          </cell>
          <cell r="AP215">
            <v>3</v>
          </cell>
          <cell r="BB215">
            <v>1</v>
          </cell>
        </row>
        <row r="216">
          <cell r="D216" t="str">
            <v>A21600021</v>
          </cell>
          <cell r="E216" t="str">
            <v>Baravan</v>
          </cell>
          <cell r="F216" t="str">
            <v>Sabri</v>
          </cell>
          <cell r="G216" t="str">
            <v>Omar</v>
          </cell>
          <cell r="H216" t="str">
            <v>Male</v>
          </cell>
          <cell r="K216" t="str">
            <v>0750 459 47 46</v>
          </cell>
          <cell r="N216" t="str">
            <v>No</v>
          </cell>
          <cell r="O216" t="str">
            <v>No</v>
          </cell>
          <cell r="P216" t="str">
            <v>Local</v>
          </cell>
          <cell r="Q216" t="str">
            <v>First Year</v>
          </cell>
          <cell r="R216" t="str">
            <v>Regular</v>
          </cell>
          <cell r="T216" t="str">
            <v>Pending</v>
          </cell>
          <cell r="V216" t="str">
            <v>Spring</v>
          </cell>
          <cell r="W216" t="str">
            <v>2016</v>
          </cell>
          <cell r="Z216" t="str">
            <v>5-Year Institute</v>
          </cell>
          <cell r="AA216">
            <v>2010</v>
          </cell>
          <cell r="AE216" t="str">
            <v>Trade Highs School</v>
          </cell>
          <cell r="AF216" t="str">
            <v>Duhok</v>
          </cell>
          <cell r="AG216" t="str">
            <v>Malta</v>
          </cell>
          <cell r="AK216">
            <v>0</v>
          </cell>
          <cell r="AM216">
            <v>0</v>
          </cell>
          <cell r="AP216">
            <v>2</v>
          </cell>
        </row>
        <row r="217">
          <cell r="D217" t="str">
            <v>A11500022</v>
          </cell>
          <cell r="E217" t="str">
            <v>Beel</v>
          </cell>
          <cell r="F217" t="str">
            <v>Fadhululddin</v>
          </cell>
          <cell r="G217" t="str">
            <v>Hasan</v>
          </cell>
          <cell r="H217" t="str">
            <v>Female</v>
          </cell>
          <cell r="I217">
            <v>1993</v>
          </cell>
          <cell r="J217" t="str">
            <v>Kurdish</v>
          </cell>
          <cell r="K217" t="str">
            <v>0750 408 7237</v>
          </cell>
          <cell r="L217" t="str">
            <v>0750 450 6328</v>
          </cell>
          <cell r="N217" t="str">
            <v>No</v>
          </cell>
          <cell r="O217" t="str">
            <v>No</v>
          </cell>
          <cell r="P217" t="str">
            <v>Local</v>
          </cell>
          <cell r="Q217" t="str">
            <v>First Year</v>
          </cell>
          <cell r="R217" t="str">
            <v>Regular</v>
          </cell>
          <cell r="T217" t="str">
            <v>Accepted</v>
          </cell>
          <cell r="U217">
            <v>0</v>
          </cell>
          <cell r="V217" t="str">
            <v>Fall</v>
          </cell>
          <cell r="W217" t="str">
            <v>2015</v>
          </cell>
          <cell r="Z217" t="str">
            <v>High School</v>
          </cell>
          <cell r="AA217">
            <v>2015</v>
          </cell>
          <cell r="AB217">
            <v>4</v>
          </cell>
          <cell r="AC217">
            <v>1</v>
          </cell>
          <cell r="AD217" t="str">
            <v>Science</v>
          </cell>
          <cell r="AE217" t="str">
            <v>Lavan</v>
          </cell>
          <cell r="AF217" t="str">
            <v>Duhok</v>
          </cell>
          <cell r="AG217" t="str">
            <v>Gali</v>
          </cell>
          <cell r="AH217">
            <v>65.7</v>
          </cell>
          <cell r="AK217">
            <v>65.7</v>
          </cell>
          <cell r="AM217">
            <v>65.7</v>
          </cell>
          <cell r="AP217">
            <v>6</v>
          </cell>
          <cell r="BJ217">
            <v>1</v>
          </cell>
        </row>
        <row r="218">
          <cell r="D218" t="str">
            <v>A11500023</v>
          </cell>
          <cell r="E218" t="str">
            <v>Haliz</v>
          </cell>
          <cell r="F218" t="str">
            <v>Mohammed Salih</v>
          </cell>
          <cell r="G218" t="str">
            <v>Yousif</v>
          </cell>
          <cell r="H218" t="str">
            <v>Female</v>
          </cell>
          <cell r="I218">
            <v>1995</v>
          </cell>
          <cell r="J218" t="str">
            <v>Kurdish</v>
          </cell>
          <cell r="K218" t="str">
            <v>0750 767 3696</v>
          </cell>
          <cell r="L218" t="str">
            <v>0750 410 7670</v>
          </cell>
          <cell r="N218" t="str">
            <v>Yes</v>
          </cell>
          <cell r="O218" t="str">
            <v>No</v>
          </cell>
          <cell r="P218" t="str">
            <v>Local</v>
          </cell>
          <cell r="Q218" t="str">
            <v>First Year</v>
          </cell>
          <cell r="R218" t="str">
            <v>Martyr's Aid</v>
          </cell>
          <cell r="S218" t="str">
            <v>Family Discount</v>
          </cell>
          <cell r="T218" t="str">
            <v>Accepted</v>
          </cell>
          <cell r="U218">
            <v>0</v>
          </cell>
          <cell r="V218" t="str">
            <v>Fall</v>
          </cell>
          <cell r="W218" t="str">
            <v>2015</v>
          </cell>
          <cell r="Z218" t="str">
            <v>High School</v>
          </cell>
          <cell r="AA218">
            <v>2015</v>
          </cell>
          <cell r="AB218">
            <v>2</v>
          </cell>
          <cell r="AC218">
            <v>1</v>
          </cell>
          <cell r="AD218" t="str">
            <v>Arts</v>
          </cell>
          <cell r="AE218" t="str">
            <v>Jinda</v>
          </cell>
          <cell r="AF218" t="str">
            <v>Duhok</v>
          </cell>
          <cell r="AH218">
            <v>62</v>
          </cell>
          <cell r="AK218">
            <v>62</v>
          </cell>
          <cell r="AM218">
            <v>62</v>
          </cell>
          <cell r="AP218">
            <v>1</v>
          </cell>
          <cell r="AZ218">
            <v>1</v>
          </cell>
        </row>
        <row r="219">
          <cell r="D219" t="str">
            <v>A11500024</v>
          </cell>
          <cell r="E219" t="str">
            <v>Awaz</v>
          </cell>
          <cell r="F219" t="str">
            <v xml:space="preserve">Tahseen </v>
          </cell>
          <cell r="G219" t="str">
            <v>Tawfeeq</v>
          </cell>
          <cell r="H219" t="str">
            <v>Female</v>
          </cell>
          <cell r="I219">
            <v>1989</v>
          </cell>
          <cell r="K219" t="str">
            <v>0750 867 7269</v>
          </cell>
          <cell r="L219" t="str">
            <v>0750 458 7192</v>
          </cell>
          <cell r="P219" t="str">
            <v>Local</v>
          </cell>
          <cell r="Q219" t="str">
            <v>First Year</v>
          </cell>
          <cell r="R219" t="str">
            <v>Martyr's Aid</v>
          </cell>
          <cell r="T219" t="str">
            <v>Accepted</v>
          </cell>
          <cell r="U219" t="str">
            <v>Withdraw</v>
          </cell>
          <cell r="V219" t="str">
            <v>Fall</v>
          </cell>
          <cell r="W219" t="str">
            <v>2015</v>
          </cell>
          <cell r="Z219" t="str">
            <v>High School</v>
          </cell>
          <cell r="AA219">
            <v>2009</v>
          </cell>
          <cell r="AE219" t="str">
            <v>Duhok</v>
          </cell>
          <cell r="AF219" t="str">
            <v>Duhok</v>
          </cell>
          <cell r="AG219" t="str">
            <v>Taxe Reza</v>
          </cell>
          <cell r="AH219">
            <v>61.9</v>
          </cell>
          <cell r="AK219">
            <v>61.9</v>
          </cell>
          <cell r="AM219">
            <v>61.9</v>
          </cell>
          <cell r="AP219">
            <v>2</v>
          </cell>
          <cell r="BG219">
            <v>1</v>
          </cell>
        </row>
        <row r="220">
          <cell r="D220" t="str">
            <v>A11500025</v>
          </cell>
          <cell r="E220" t="str">
            <v>Shiyar</v>
          </cell>
          <cell r="F220" t="str">
            <v>Omar</v>
          </cell>
          <cell r="G220" t="str">
            <v>Kani</v>
          </cell>
          <cell r="H220" t="str">
            <v>Male</v>
          </cell>
          <cell r="I220">
            <v>1995</v>
          </cell>
          <cell r="J220" t="str">
            <v>Syrian</v>
          </cell>
          <cell r="K220" t="str">
            <v>0750 893 6603</v>
          </cell>
          <cell r="L220" t="str">
            <v>0750 451 8923</v>
          </cell>
          <cell r="N220" t="str">
            <v>Yes</v>
          </cell>
          <cell r="O220" t="str">
            <v>No</v>
          </cell>
          <cell r="P220" t="str">
            <v>Local</v>
          </cell>
          <cell r="Q220" t="str">
            <v>First Year</v>
          </cell>
          <cell r="R220" t="str">
            <v>Regular</v>
          </cell>
          <cell r="T220" t="str">
            <v>Accepted</v>
          </cell>
          <cell r="U220">
            <v>0</v>
          </cell>
          <cell r="V220" t="str">
            <v>Fall</v>
          </cell>
          <cell r="W220" t="str">
            <v>2015</v>
          </cell>
          <cell r="Z220" t="str">
            <v>High School</v>
          </cell>
          <cell r="AA220">
            <v>2015</v>
          </cell>
          <cell r="AB220">
            <v>2</v>
          </cell>
          <cell r="AC220">
            <v>1</v>
          </cell>
          <cell r="AD220" t="str">
            <v>Science</v>
          </cell>
          <cell r="AE220" t="str">
            <v>Al Taakhi</v>
          </cell>
          <cell r="AF220" t="str">
            <v>Duhok</v>
          </cell>
          <cell r="AG220" t="str">
            <v>Masike</v>
          </cell>
          <cell r="AH220">
            <v>76</v>
          </cell>
          <cell r="AK220">
            <v>76</v>
          </cell>
          <cell r="AM220">
            <v>76</v>
          </cell>
          <cell r="AP220">
            <v>4</v>
          </cell>
          <cell r="AW220">
            <v>1</v>
          </cell>
        </row>
        <row r="221">
          <cell r="D221" t="str">
            <v>A11500026</v>
          </cell>
          <cell r="E221" t="str">
            <v xml:space="preserve">Gahen </v>
          </cell>
          <cell r="F221" t="str">
            <v>Sdiqi</v>
          </cell>
          <cell r="G221" t="str">
            <v>Sadiq</v>
          </cell>
          <cell r="H221" t="str">
            <v>Male</v>
          </cell>
          <cell r="I221">
            <v>1997</v>
          </cell>
          <cell r="J221" t="str">
            <v>Kurdish</v>
          </cell>
          <cell r="K221" t="str">
            <v>0750 411 2898</v>
          </cell>
          <cell r="L221" t="str">
            <v>0750 429 3183</v>
          </cell>
          <cell r="N221" t="str">
            <v>No</v>
          </cell>
          <cell r="O221" t="str">
            <v>No</v>
          </cell>
          <cell r="P221" t="str">
            <v>Local</v>
          </cell>
          <cell r="Q221" t="str">
            <v>First Year</v>
          </cell>
          <cell r="R221" t="str">
            <v>Martyr's Aid</v>
          </cell>
          <cell r="T221" t="str">
            <v>Accepted</v>
          </cell>
          <cell r="U221">
            <v>0</v>
          </cell>
          <cell r="V221" t="str">
            <v>Fall</v>
          </cell>
          <cell r="W221" t="str">
            <v>2015</v>
          </cell>
          <cell r="Z221" t="str">
            <v>High School</v>
          </cell>
          <cell r="AA221">
            <v>2015</v>
          </cell>
          <cell r="AB221">
            <v>1</v>
          </cell>
          <cell r="AC221">
            <v>1</v>
          </cell>
          <cell r="AD221" t="str">
            <v>Arts</v>
          </cell>
          <cell r="AE221" t="str">
            <v>Sadiq Bahadin</v>
          </cell>
          <cell r="AF221" t="str">
            <v>Duhok</v>
          </cell>
          <cell r="AG221" t="str">
            <v>KRO</v>
          </cell>
          <cell r="AH221">
            <v>63.1</v>
          </cell>
          <cell r="AK221">
            <v>63.1</v>
          </cell>
          <cell r="AM221">
            <v>63.1</v>
          </cell>
          <cell r="AP221">
            <v>1</v>
          </cell>
          <cell r="BG221">
            <v>1</v>
          </cell>
        </row>
        <row r="222">
          <cell r="D222" t="str">
            <v>A11500027</v>
          </cell>
          <cell r="E222" t="str">
            <v>Buash KFT</v>
          </cell>
          <cell r="F222" t="str">
            <v>Khalid</v>
          </cell>
          <cell r="G222" t="str">
            <v>Muhammed</v>
          </cell>
          <cell r="H222" t="str">
            <v>Male</v>
          </cell>
          <cell r="I222">
            <v>1997</v>
          </cell>
          <cell r="J222" t="str">
            <v>Kurdish</v>
          </cell>
          <cell r="K222" t="str">
            <v>0750 450 9637</v>
          </cell>
          <cell r="L222" t="str">
            <v>0750 766 5555</v>
          </cell>
          <cell r="M222" t="str">
            <v>PESHKAFT.KHALID@yahoo.com</v>
          </cell>
          <cell r="N222" t="str">
            <v>No</v>
          </cell>
          <cell r="O222" t="str">
            <v>No</v>
          </cell>
          <cell r="P222" t="str">
            <v>International</v>
          </cell>
          <cell r="Q222" t="str">
            <v>First Year</v>
          </cell>
          <cell r="R222" t="str">
            <v>Regular</v>
          </cell>
          <cell r="T222" t="str">
            <v>Accepted</v>
          </cell>
          <cell r="U222">
            <v>0</v>
          </cell>
          <cell r="V222" t="str">
            <v>Fall</v>
          </cell>
          <cell r="W222" t="str">
            <v>2015</v>
          </cell>
          <cell r="Z222" t="str">
            <v>High School</v>
          </cell>
          <cell r="AA222">
            <v>2015</v>
          </cell>
          <cell r="AD222" t="str">
            <v>Science</v>
          </cell>
          <cell r="AE222" t="str">
            <v>Glendale</v>
          </cell>
          <cell r="AF222" t="str">
            <v>Duhok</v>
          </cell>
          <cell r="AK222">
            <v>0</v>
          </cell>
          <cell r="AM222">
            <v>0</v>
          </cell>
          <cell r="AN222" t="str">
            <v>66</v>
          </cell>
          <cell r="AP222">
            <v>8</v>
          </cell>
          <cell r="BJ222">
            <v>1</v>
          </cell>
        </row>
        <row r="223">
          <cell r="D223" t="str">
            <v>A11500028</v>
          </cell>
          <cell r="E223" t="str">
            <v>Ali</v>
          </cell>
          <cell r="F223" t="str">
            <v>Mamoon</v>
          </cell>
          <cell r="G223" t="str">
            <v>Nouradeen</v>
          </cell>
          <cell r="H223" t="str">
            <v>Male</v>
          </cell>
          <cell r="K223" t="str">
            <v>0750 410 2900</v>
          </cell>
          <cell r="L223" t="str">
            <v>0750 381 3533</v>
          </cell>
          <cell r="N223" t="str">
            <v>No</v>
          </cell>
          <cell r="O223" t="str">
            <v>No</v>
          </cell>
          <cell r="P223" t="str">
            <v>Local</v>
          </cell>
          <cell r="Q223" t="str">
            <v>First Year</v>
          </cell>
          <cell r="R223" t="str">
            <v>Regular</v>
          </cell>
          <cell r="T223" t="str">
            <v>Pending</v>
          </cell>
          <cell r="V223" t="str">
            <v>Fall</v>
          </cell>
          <cell r="W223" t="str">
            <v>2015</v>
          </cell>
          <cell r="Z223" t="str">
            <v>High School</v>
          </cell>
          <cell r="AA223">
            <v>2015</v>
          </cell>
          <cell r="AE223" t="str">
            <v>Sadiq Bahadin</v>
          </cell>
          <cell r="AF223" t="str">
            <v>Duhok</v>
          </cell>
          <cell r="AG223" t="str">
            <v>KRO</v>
          </cell>
          <cell r="AH223">
            <v>69.099999999999994</v>
          </cell>
          <cell r="AK223">
            <v>69.099999999999994</v>
          </cell>
          <cell r="AM223">
            <v>69.099999999999994</v>
          </cell>
          <cell r="AP223">
            <v>0</v>
          </cell>
          <cell r="BJ223">
            <v>1</v>
          </cell>
        </row>
        <row r="224">
          <cell r="D224" t="str">
            <v>A11500029</v>
          </cell>
          <cell r="E224" t="str">
            <v>Amad</v>
          </cell>
          <cell r="F224" t="str">
            <v>Abas</v>
          </cell>
          <cell r="G224" t="str">
            <v>Ahmed</v>
          </cell>
          <cell r="H224" t="str">
            <v>Male</v>
          </cell>
          <cell r="I224">
            <v>1996</v>
          </cell>
          <cell r="J224" t="str">
            <v>Kurdish</v>
          </cell>
          <cell r="K224" t="str">
            <v>0750 832 1122</v>
          </cell>
          <cell r="L224" t="str">
            <v>0750 457 8982</v>
          </cell>
          <cell r="M224" t="str">
            <v>amadduhoki96@gmail.com</v>
          </cell>
          <cell r="N224" t="str">
            <v>No</v>
          </cell>
          <cell r="O224" t="str">
            <v>No</v>
          </cell>
          <cell r="P224" t="str">
            <v>Local</v>
          </cell>
          <cell r="Q224" t="str">
            <v>First Year</v>
          </cell>
          <cell r="R224" t="str">
            <v>Political Prisoner</v>
          </cell>
          <cell r="T224" t="str">
            <v>Accepted</v>
          </cell>
          <cell r="U224">
            <v>0</v>
          </cell>
          <cell r="V224" t="str">
            <v>Fall</v>
          </cell>
          <cell r="W224" t="str">
            <v>2015</v>
          </cell>
          <cell r="Z224" t="str">
            <v>High School</v>
          </cell>
          <cell r="AA224">
            <v>2015</v>
          </cell>
          <cell r="AB224">
            <v>2</v>
          </cell>
          <cell r="AC224">
            <v>1</v>
          </cell>
          <cell r="AD224" t="str">
            <v>Science</v>
          </cell>
          <cell r="AE224" t="str">
            <v>Sadiq Bahadin</v>
          </cell>
          <cell r="AF224" t="str">
            <v>Duhok</v>
          </cell>
          <cell r="AG224" t="str">
            <v>KRO</v>
          </cell>
          <cell r="AH224">
            <v>64.900000000000006</v>
          </cell>
          <cell r="AK224">
            <v>64.900000000000006</v>
          </cell>
          <cell r="AM224">
            <v>64.900000000000006</v>
          </cell>
          <cell r="AP224">
            <v>5</v>
          </cell>
          <cell r="BG224">
            <v>1</v>
          </cell>
        </row>
        <row r="225">
          <cell r="D225" t="str">
            <v>A11500030</v>
          </cell>
          <cell r="E225" t="str">
            <v>Raveen</v>
          </cell>
          <cell r="F225" t="str">
            <v>M.S.</v>
          </cell>
          <cell r="G225" t="str">
            <v>Saeed</v>
          </cell>
          <cell r="H225" t="str">
            <v>Female</v>
          </cell>
          <cell r="K225" t="str">
            <v>0750 766 1981</v>
          </cell>
          <cell r="L225" t="str">
            <v>0750 735 1005</v>
          </cell>
          <cell r="P225" t="str">
            <v>Local</v>
          </cell>
          <cell r="Q225" t="str">
            <v>First Year</v>
          </cell>
          <cell r="R225" t="str">
            <v>Martyr's Aid</v>
          </cell>
          <cell r="T225" t="str">
            <v>Pending</v>
          </cell>
          <cell r="V225" t="str">
            <v>Fall</v>
          </cell>
          <cell r="W225" t="str">
            <v>2015</v>
          </cell>
          <cell r="Z225" t="str">
            <v>High School</v>
          </cell>
          <cell r="AA225">
            <v>2007</v>
          </cell>
          <cell r="AE225" t="str">
            <v>Layla Qasim</v>
          </cell>
          <cell r="AF225" t="str">
            <v>Duhok</v>
          </cell>
          <cell r="AH225">
            <v>79.599999999999994</v>
          </cell>
          <cell r="AK225">
            <v>79.599999999999994</v>
          </cell>
          <cell r="AM225">
            <v>79.599999999999994</v>
          </cell>
          <cell r="AP225">
            <v>0</v>
          </cell>
        </row>
        <row r="226">
          <cell r="D226" t="str">
            <v>A11500031</v>
          </cell>
          <cell r="E226" t="str">
            <v>Mohammed Saleem</v>
          </cell>
          <cell r="F226" t="str">
            <v>Salih</v>
          </cell>
          <cell r="G226" t="str">
            <v>M. Saleem</v>
          </cell>
          <cell r="H226" t="str">
            <v>Male</v>
          </cell>
          <cell r="I226">
            <v>1992</v>
          </cell>
          <cell r="J226" t="str">
            <v>Kurdish</v>
          </cell>
          <cell r="K226" t="str">
            <v>0750 828 5885</v>
          </cell>
          <cell r="L226" t="str">
            <v>0750 450 1610</v>
          </cell>
          <cell r="N226" t="str">
            <v>No</v>
          </cell>
          <cell r="O226" t="str">
            <v>No</v>
          </cell>
          <cell r="P226" t="str">
            <v>Local</v>
          </cell>
          <cell r="Q226" t="str">
            <v>First Year</v>
          </cell>
          <cell r="R226" t="str">
            <v>Martyr's Aid</v>
          </cell>
          <cell r="T226" t="str">
            <v>Accepted</v>
          </cell>
          <cell r="U226">
            <v>0</v>
          </cell>
          <cell r="V226" t="str">
            <v>Fall</v>
          </cell>
          <cell r="W226" t="str">
            <v>2015</v>
          </cell>
          <cell r="Z226" t="str">
            <v>High School</v>
          </cell>
          <cell r="AA226">
            <v>2015</v>
          </cell>
          <cell r="AB226">
            <v>2</v>
          </cell>
          <cell r="AC226">
            <v>1</v>
          </cell>
          <cell r="AD226" t="str">
            <v>Science</v>
          </cell>
          <cell r="AE226" t="str">
            <v>Brayati</v>
          </cell>
          <cell r="AF226" t="str">
            <v>Duhok</v>
          </cell>
          <cell r="AG226" t="str">
            <v>Nehale</v>
          </cell>
          <cell r="AH226">
            <v>70.3</v>
          </cell>
          <cell r="AK226">
            <v>70.3</v>
          </cell>
          <cell r="AM226">
            <v>70.3</v>
          </cell>
          <cell r="AP226">
            <v>1</v>
          </cell>
          <cell r="BG226">
            <v>1</v>
          </cell>
        </row>
        <row r="227">
          <cell r="D227" t="str">
            <v>A11500032</v>
          </cell>
          <cell r="E227" t="str">
            <v>Giner</v>
          </cell>
          <cell r="F227" t="str">
            <v>Sadeq</v>
          </cell>
          <cell r="G227" t="str">
            <v>Abdulrahman</v>
          </cell>
          <cell r="H227" t="str">
            <v>Female</v>
          </cell>
          <cell r="I227">
            <v>1993</v>
          </cell>
          <cell r="J227" t="str">
            <v>Kurdish</v>
          </cell>
          <cell r="K227" t="str">
            <v>0750 889 2929</v>
          </cell>
          <cell r="L227" t="str">
            <v>0750 445 5144</v>
          </cell>
          <cell r="N227" t="str">
            <v>Yes</v>
          </cell>
          <cell r="O227" t="str">
            <v>No</v>
          </cell>
          <cell r="P227" t="str">
            <v>Local</v>
          </cell>
          <cell r="Q227" t="str">
            <v>First Year</v>
          </cell>
          <cell r="R227" t="str">
            <v>Regular</v>
          </cell>
          <cell r="T227" t="str">
            <v>Accepted</v>
          </cell>
          <cell r="U227">
            <v>0</v>
          </cell>
          <cell r="V227" t="str">
            <v>Fall</v>
          </cell>
          <cell r="W227" t="str">
            <v>2015</v>
          </cell>
          <cell r="Z227" t="str">
            <v>High School</v>
          </cell>
          <cell r="AA227">
            <v>2015</v>
          </cell>
          <cell r="AB227">
            <v>3</v>
          </cell>
          <cell r="AC227">
            <v>1</v>
          </cell>
          <cell r="AD227" t="str">
            <v>Science</v>
          </cell>
          <cell r="AE227" t="str">
            <v>Hayv</v>
          </cell>
          <cell r="AF227" t="str">
            <v>Duhok</v>
          </cell>
          <cell r="AG227" t="str">
            <v>Grebase</v>
          </cell>
          <cell r="AH227">
            <v>60.7</v>
          </cell>
          <cell r="AK227">
            <v>60.7</v>
          </cell>
          <cell r="AM227">
            <v>60.7</v>
          </cell>
          <cell r="AP227">
            <v>1</v>
          </cell>
          <cell r="BE227">
            <v>1</v>
          </cell>
        </row>
        <row r="228">
          <cell r="D228" t="str">
            <v>A11500033</v>
          </cell>
          <cell r="E228" t="str">
            <v>Niveen</v>
          </cell>
          <cell r="F228" t="str">
            <v xml:space="preserve">Nasrat </v>
          </cell>
          <cell r="G228" t="str">
            <v>Hassan</v>
          </cell>
          <cell r="H228" t="str">
            <v>Female</v>
          </cell>
          <cell r="I228">
            <v>1996</v>
          </cell>
          <cell r="K228" t="str">
            <v>0750 227 5393</v>
          </cell>
          <cell r="L228" t="str">
            <v>0750 201 3679</v>
          </cell>
          <cell r="M228" t="str">
            <v>niveen96@live.com</v>
          </cell>
          <cell r="N228" t="str">
            <v>Yes</v>
          </cell>
          <cell r="O228" t="str">
            <v>No</v>
          </cell>
          <cell r="P228" t="str">
            <v>International</v>
          </cell>
          <cell r="Q228" t="str">
            <v>First Year</v>
          </cell>
          <cell r="R228" t="str">
            <v>Regular</v>
          </cell>
          <cell r="T228" t="str">
            <v>Accepted</v>
          </cell>
          <cell r="U228">
            <v>0</v>
          </cell>
          <cell r="V228" t="str">
            <v>Fall</v>
          </cell>
          <cell r="W228" t="str">
            <v>2015</v>
          </cell>
          <cell r="Z228" t="str">
            <v>High School</v>
          </cell>
          <cell r="AA228">
            <v>2014</v>
          </cell>
          <cell r="AE228" t="str">
            <v>DGF High School</v>
          </cell>
          <cell r="AF228" t="str">
            <v>Duhok</v>
          </cell>
          <cell r="AG228" t="str">
            <v>Avro City</v>
          </cell>
          <cell r="AH228">
            <v>79.2</v>
          </cell>
          <cell r="AK228">
            <v>79.2</v>
          </cell>
          <cell r="AM228">
            <v>79.2</v>
          </cell>
          <cell r="AP228">
            <v>8</v>
          </cell>
          <cell r="BJ228">
            <v>1</v>
          </cell>
        </row>
        <row r="229">
          <cell r="D229" t="str">
            <v>A21600034</v>
          </cell>
          <cell r="E229" t="str">
            <v>Jiwan</v>
          </cell>
          <cell r="F229" t="str">
            <v xml:space="preserve">Shaaban </v>
          </cell>
          <cell r="G229" t="str">
            <v>Ramadhan</v>
          </cell>
          <cell r="H229" t="str">
            <v>Female</v>
          </cell>
          <cell r="I229">
            <v>1990</v>
          </cell>
          <cell r="J229" t="str">
            <v>Kurdish</v>
          </cell>
          <cell r="K229" t="str">
            <v>0750 386 5102</v>
          </cell>
          <cell r="L229" t="str">
            <v>0750 427 7513</v>
          </cell>
          <cell r="N229" t="str">
            <v>Yes</v>
          </cell>
          <cell r="O229" t="str">
            <v>No</v>
          </cell>
          <cell r="P229" t="str">
            <v>Local</v>
          </cell>
          <cell r="Q229" t="str">
            <v>First Year</v>
          </cell>
          <cell r="R229" t="str">
            <v>Martyr's Aid</v>
          </cell>
          <cell r="S229" t="str">
            <v>Family Discount</v>
          </cell>
          <cell r="T229" t="str">
            <v>Accepted</v>
          </cell>
          <cell r="U229">
            <v>0</v>
          </cell>
          <cell r="V229" t="str">
            <v>Spring</v>
          </cell>
          <cell r="W229" t="str">
            <v>2016</v>
          </cell>
          <cell r="Z229" t="str">
            <v>High School</v>
          </cell>
          <cell r="AA229">
            <v>2012</v>
          </cell>
          <cell r="AB229">
            <v>3</v>
          </cell>
          <cell r="AC229">
            <v>2</v>
          </cell>
          <cell r="AD229" t="str">
            <v>Science</v>
          </cell>
          <cell r="AE229" t="str">
            <v>Duhok</v>
          </cell>
          <cell r="AF229" t="str">
            <v>Duhok</v>
          </cell>
          <cell r="AG229" t="str">
            <v>Grebase</v>
          </cell>
          <cell r="AH229">
            <v>57.7</v>
          </cell>
          <cell r="AK229">
            <v>57.7</v>
          </cell>
          <cell r="AM229">
            <v>57.7</v>
          </cell>
          <cell r="AP229">
            <v>1</v>
          </cell>
          <cell r="BG229">
            <v>1</v>
          </cell>
        </row>
        <row r="230">
          <cell r="D230" t="str">
            <v>A21600035</v>
          </cell>
          <cell r="E230" t="str">
            <v>Sarhad</v>
          </cell>
          <cell r="F230" t="str">
            <v>Saeed</v>
          </cell>
          <cell r="G230" t="str">
            <v>Mala Abd</v>
          </cell>
          <cell r="H230" t="str">
            <v>Male</v>
          </cell>
          <cell r="I230">
            <v>1994</v>
          </cell>
          <cell r="J230" t="str">
            <v>Kurdish</v>
          </cell>
          <cell r="K230" t="str">
            <v>0750 497 0608</v>
          </cell>
          <cell r="L230" t="str">
            <v>0750 426 8498</v>
          </cell>
          <cell r="N230" t="str">
            <v>No</v>
          </cell>
          <cell r="O230" t="str">
            <v>Yes</v>
          </cell>
          <cell r="P230" t="str">
            <v>Local</v>
          </cell>
          <cell r="Q230" t="str">
            <v>First Year</v>
          </cell>
          <cell r="R230" t="str">
            <v>Martyr's Aid</v>
          </cell>
          <cell r="T230" t="str">
            <v>Accepted</v>
          </cell>
          <cell r="U230">
            <v>0</v>
          </cell>
          <cell r="V230" t="str">
            <v>Spring</v>
          </cell>
          <cell r="W230" t="str">
            <v>2016</v>
          </cell>
          <cell r="Z230" t="str">
            <v>High School</v>
          </cell>
          <cell r="AA230">
            <v>2015</v>
          </cell>
          <cell r="AB230">
            <v>3</v>
          </cell>
          <cell r="AC230">
            <v>1</v>
          </cell>
          <cell r="AD230" t="str">
            <v>Science</v>
          </cell>
          <cell r="AE230" t="str">
            <v>Bnary</v>
          </cell>
          <cell r="AF230" t="str">
            <v>Duhok</v>
          </cell>
          <cell r="AG230" t="str">
            <v>Kalakche</v>
          </cell>
          <cell r="AH230">
            <v>60.7</v>
          </cell>
          <cell r="AK230">
            <v>60.7</v>
          </cell>
          <cell r="AM230">
            <v>60.7</v>
          </cell>
          <cell r="AP230">
            <v>1</v>
          </cell>
          <cell r="AZ230">
            <v>2</v>
          </cell>
          <cell r="BJ230">
            <v>1</v>
          </cell>
        </row>
        <row r="231">
          <cell r="D231" t="str">
            <v>A21600036</v>
          </cell>
          <cell r="E231" t="str">
            <v>Bawari</v>
          </cell>
          <cell r="F231" t="str">
            <v xml:space="preserve">Shaaban </v>
          </cell>
          <cell r="G231" t="str">
            <v>Ramadhan</v>
          </cell>
          <cell r="H231" t="str">
            <v>Female</v>
          </cell>
          <cell r="I231">
            <v>1994</v>
          </cell>
          <cell r="J231" t="str">
            <v>Kurdish</v>
          </cell>
          <cell r="K231" t="str">
            <v>0751 533 2839</v>
          </cell>
          <cell r="L231" t="str">
            <v>0750 427 7513</v>
          </cell>
          <cell r="N231" t="str">
            <v>Yes</v>
          </cell>
          <cell r="O231" t="str">
            <v>No</v>
          </cell>
          <cell r="P231" t="str">
            <v>Local</v>
          </cell>
          <cell r="Q231" t="str">
            <v>First Year</v>
          </cell>
          <cell r="R231" t="str">
            <v>Martyr's Aid</v>
          </cell>
          <cell r="T231" t="str">
            <v>Accepted</v>
          </cell>
          <cell r="U231">
            <v>0</v>
          </cell>
          <cell r="V231" t="str">
            <v>Spring</v>
          </cell>
          <cell r="W231" t="str">
            <v>2016</v>
          </cell>
          <cell r="Z231" t="str">
            <v>High School</v>
          </cell>
          <cell r="AA231">
            <v>2015</v>
          </cell>
          <cell r="AB231">
            <v>1</v>
          </cell>
          <cell r="AC231">
            <v>2</v>
          </cell>
          <cell r="AD231" t="str">
            <v>Arts</v>
          </cell>
          <cell r="AE231" t="str">
            <v>Hayv</v>
          </cell>
          <cell r="AF231" t="str">
            <v>Duhok</v>
          </cell>
          <cell r="AG231" t="str">
            <v>Grebase</v>
          </cell>
          <cell r="AH231">
            <v>59</v>
          </cell>
          <cell r="AK231">
            <v>59</v>
          </cell>
          <cell r="AM231">
            <v>59</v>
          </cell>
          <cell r="AP231">
            <v>1</v>
          </cell>
          <cell r="AZ231">
            <v>2</v>
          </cell>
          <cell r="BG231">
            <v>1</v>
          </cell>
        </row>
        <row r="232">
          <cell r="D232" t="str">
            <v>A21600037</v>
          </cell>
          <cell r="E232" t="str">
            <v>Avrin</v>
          </cell>
          <cell r="F232" t="str">
            <v>Nihad</v>
          </cell>
          <cell r="G232" t="str">
            <v>Hamid</v>
          </cell>
          <cell r="H232" t="str">
            <v>Female</v>
          </cell>
          <cell r="I232">
            <v>1997</v>
          </cell>
          <cell r="J232" t="str">
            <v>Kurdish</v>
          </cell>
          <cell r="K232" t="str">
            <v>0750 357 9785</v>
          </cell>
          <cell r="L232" t="str">
            <v>0750 357 9786</v>
          </cell>
          <cell r="N232" t="str">
            <v>No</v>
          </cell>
          <cell r="O232" t="str">
            <v>No</v>
          </cell>
          <cell r="P232" t="str">
            <v>Local</v>
          </cell>
          <cell r="Q232" t="str">
            <v>First Year</v>
          </cell>
          <cell r="R232" t="str">
            <v>Regular</v>
          </cell>
          <cell r="T232" t="str">
            <v>Accepted</v>
          </cell>
          <cell r="U232">
            <v>0</v>
          </cell>
          <cell r="V232" t="str">
            <v>Spring</v>
          </cell>
          <cell r="W232" t="str">
            <v>2016</v>
          </cell>
          <cell r="Z232" t="str">
            <v>High School</v>
          </cell>
          <cell r="AA232">
            <v>2015</v>
          </cell>
          <cell r="AB232">
            <v>1</v>
          </cell>
          <cell r="AC232">
            <v>2</v>
          </cell>
          <cell r="AD232" t="str">
            <v>Science</v>
          </cell>
          <cell r="AE232" t="str">
            <v>Kurd</v>
          </cell>
          <cell r="AF232" t="str">
            <v>Duhok</v>
          </cell>
          <cell r="AG232" t="str">
            <v>K.R.O</v>
          </cell>
          <cell r="AH232">
            <v>68</v>
          </cell>
          <cell r="AK232">
            <v>68</v>
          </cell>
          <cell r="AL232">
            <v>1</v>
          </cell>
          <cell r="AM232">
            <v>69</v>
          </cell>
          <cell r="AN232">
            <v>61</v>
          </cell>
          <cell r="AP232">
            <v>6</v>
          </cell>
          <cell r="AQ232">
            <v>1</v>
          </cell>
        </row>
        <row r="233">
          <cell r="D233" t="str">
            <v>A21600038</v>
          </cell>
          <cell r="E233" t="str">
            <v>Mustafa</v>
          </cell>
          <cell r="F233" t="str">
            <v>Fekry</v>
          </cell>
          <cell r="G233" t="str">
            <v>Hamo</v>
          </cell>
          <cell r="H233" t="str">
            <v>Male</v>
          </cell>
          <cell r="I233">
            <v>1996</v>
          </cell>
          <cell r="K233" t="str">
            <v>0750 447 3000</v>
          </cell>
          <cell r="L233" t="str">
            <v>0750 445 4000</v>
          </cell>
          <cell r="N233" t="str">
            <v>No</v>
          </cell>
          <cell r="O233" t="str">
            <v>No</v>
          </cell>
          <cell r="P233" t="str">
            <v>Local</v>
          </cell>
          <cell r="Q233" t="str">
            <v>First Year</v>
          </cell>
          <cell r="R233" t="str">
            <v>Regular</v>
          </cell>
          <cell r="T233" t="str">
            <v>Accepted</v>
          </cell>
          <cell r="U233">
            <v>0</v>
          </cell>
          <cell r="V233" t="str">
            <v>Spring</v>
          </cell>
          <cell r="W233" t="str">
            <v>2016</v>
          </cell>
          <cell r="Z233" t="str">
            <v>High School</v>
          </cell>
          <cell r="AA233">
            <v>2015</v>
          </cell>
          <cell r="AE233" t="str">
            <v>Rozak</v>
          </cell>
          <cell r="AF233" t="str">
            <v>Hawler</v>
          </cell>
          <cell r="AG233" t="str">
            <v xml:space="preserve">Dream City </v>
          </cell>
          <cell r="AH233">
            <v>69</v>
          </cell>
          <cell r="AK233">
            <v>69</v>
          </cell>
          <cell r="AL233">
            <v>3</v>
          </cell>
          <cell r="AM233">
            <v>72</v>
          </cell>
          <cell r="AP233">
            <v>3</v>
          </cell>
          <cell r="BG233">
            <v>1</v>
          </cell>
        </row>
        <row r="234">
          <cell r="D234" t="str">
            <v>A21600039</v>
          </cell>
          <cell r="E234" t="str">
            <v>Tariq</v>
          </cell>
          <cell r="F234" t="str">
            <v>Waleed</v>
          </cell>
          <cell r="G234" t="str">
            <v>Khalid</v>
          </cell>
          <cell r="H234" t="str">
            <v>Male</v>
          </cell>
          <cell r="I234">
            <v>1994</v>
          </cell>
          <cell r="J234" t="str">
            <v>Kurdish</v>
          </cell>
          <cell r="K234" t="str">
            <v>0750 414 8485</v>
          </cell>
          <cell r="L234" t="str">
            <v>0750 735 7444</v>
          </cell>
          <cell r="N234" t="str">
            <v>Yes</v>
          </cell>
          <cell r="O234" t="str">
            <v>Yes</v>
          </cell>
          <cell r="P234" t="str">
            <v>Local</v>
          </cell>
          <cell r="Q234" t="str">
            <v>First Year</v>
          </cell>
          <cell r="R234" t="str">
            <v>Regular</v>
          </cell>
          <cell r="T234" t="str">
            <v>Accepted</v>
          </cell>
          <cell r="U234">
            <v>0</v>
          </cell>
          <cell r="V234" t="str">
            <v>Spring</v>
          </cell>
          <cell r="W234" t="str">
            <v>2016</v>
          </cell>
          <cell r="Z234" t="str">
            <v>High School</v>
          </cell>
          <cell r="AA234">
            <v>2015</v>
          </cell>
          <cell r="AB234">
            <v>1</v>
          </cell>
          <cell r="AC234">
            <v>2</v>
          </cell>
          <cell r="AD234" t="str">
            <v>Arts</v>
          </cell>
          <cell r="AE234" t="str">
            <v xml:space="preserve">Kalakcge </v>
          </cell>
          <cell r="AF234" t="str">
            <v>Duhok</v>
          </cell>
          <cell r="AG234" t="str">
            <v>Kalakche</v>
          </cell>
          <cell r="AH234">
            <v>72.5</v>
          </cell>
          <cell r="AK234">
            <v>72.5</v>
          </cell>
          <cell r="AL234">
            <v>1</v>
          </cell>
          <cell r="AM234">
            <v>73.5</v>
          </cell>
          <cell r="AP234">
            <v>1</v>
          </cell>
          <cell r="BJ234">
            <v>1</v>
          </cell>
        </row>
        <row r="235">
          <cell r="D235" t="str">
            <v>A21600040</v>
          </cell>
          <cell r="E235" t="str">
            <v>Shang</v>
          </cell>
          <cell r="F235" t="str">
            <v>Ahmed</v>
          </cell>
          <cell r="G235" t="str">
            <v>Abdullah</v>
          </cell>
          <cell r="H235" t="str">
            <v>Female</v>
          </cell>
          <cell r="K235" t="str">
            <v>0750 136 2003</v>
          </cell>
          <cell r="L235" t="str">
            <v>0750 445 7965</v>
          </cell>
          <cell r="N235" t="str">
            <v>No</v>
          </cell>
          <cell r="O235" t="str">
            <v>No</v>
          </cell>
          <cell r="P235" t="str">
            <v>Local</v>
          </cell>
          <cell r="Q235" t="str">
            <v>First Year</v>
          </cell>
          <cell r="R235" t="str">
            <v>Regular</v>
          </cell>
          <cell r="T235" t="str">
            <v>Pending</v>
          </cell>
          <cell r="V235" t="str">
            <v>Spring</v>
          </cell>
          <cell r="W235" t="str">
            <v>2016</v>
          </cell>
          <cell r="Z235" t="str">
            <v>High School</v>
          </cell>
          <cell r="AA235">
            <v>2015</v>
          </cell>
          <cell r="AE235" t="str">
            <v>Ishik</v>
          </cell>
          <cell r="AF235" t="str">
            <v>Duhok</v>
          </cell>
          <cell r="AG235" t="str">
            <v>Bahdinan</v>
          </cell>
          <cell r="AH235">
            <v>58.5</v>
          </cell>
          <cell r="AI235">
            <v>70.72</v>
          </cell>
          <cell r="AJ235">
            <v>84.65</v>
          </cell>
          <cell r="AK235">
            <v>62.337000000000003</v>
          </cell>
          <cell r="AL235">
            <v>1</v>
          </cell>
          <cell r="AM235">
            <v>63.337000000000003</v>
          </cell>
          <cell r="AP235">
            <v>7</v>
          </cell>
          <cell r="AW235">
            <v>1</v>
          </cell>
        </row>
        <row r="236">
          <cell r="D236" t="str">
            <v>A21600041</v>
          </cell>
          <cell r="E236" t="str">
            <v>Karwan</v>
          </cell>
          <cell r="F236" t="str">
            <v>Hezbi</v>
          </cell>
          <cell r="G236" t="str">
            <v>Younis</v>
          </cell>
          <cell r="H236" t="str">
            <v>Male</v>
          </cell>
          <cell r="I236">
            <v>1991</v>
          </cell>
          <cell r="K236" t="str">
            <v>0750 493 7079</v>
          </cell>
          <cell r="N236" t="str">
            <v>No</v>
          </cell>
          <cell r="O236" t="str">
            <v>No</v>
          </cell>
          <cell r="P236" t="str">
            <v>Local</v>
          </cell>
          <cell r="Q236" t="str">
            <v>First Year</v>
          </cell>
          <cell r="R236" t="str">
            <v>Regular</v>
          </cell>
          <cell r="T236" t="str">
            <v>Accepted</v>
          </cell>
          <cell r="U236">
            <v>0</v>
          </cell>
          <cell r="V236" t="str">
            <v>Spring</v>
          </cell>
          <cell r="W236" t="str">
            <v>2016</v>
          </cell>
          <cell r="Z236" t="str">
            <v>High School</v>
          </cell>
          <cell r="AA236">
            <v>2015</v>
          </cell>
          <cell r="AE236" t="str">
            <v>Home School</v>
          </cell>
          <cell r="AF236" t="str">
            <v>Duhok</v>
          </cell>
          <cell r="AH236">
            <v>55.8</v>
          </cell>
          <cell r="AK236">
            <v>55.8</v>
          </cell>
          <cell r="AM236">
            <v>55.8</v>
          </cell>
          <cell r="AP236">
            <v>2</v>
          </cell>
          <cell r="BG236">
            <v>1</v>
          </cell>
        </row>
        <row r="237">
          <cell r="D237" t="str">
            <v>A21600042</v>
          </cell>
          <cell r="E237" t="str">
            <v>Azad</v>
          </cell>
          <cell r="F237" t="str">
            <v>Sami</v>
          </cell>
          <cell r="G237" t="str">
            <v>Abdullah Nacheem</v>
          </cell>
          <cell r="H237" t="str">
            <v>Male</v>
          </cell>
          <cell r="I237">
            <v>1992</v>
          </cell>
          <cell r="J237" t="str">
            <v>Kurdish</v>
          </cell>
          <cell r="K237" t="str">
            <v>0750 443 4462</v>
          </cell>
          <cell r="L237" t="str">
            <v>0750 491 9216</v>
          </cell>
          <cell r="N237" t="str">
            <v>Yes</v>
          </cell>
          <cell r="O237" t="str">
            <v>Yes</v>
          </cell>
          <cell r="P237" t="str">
            <v>Local</v>
          </cell>
          <cell r="Q237" t="str">
            <v>First Year</v>
          </cell>
          <cell r="R237" t="str">
            <v>Martyr's Aid</v>
          </cell>
          <cell r="T237" t="str">
            <v>Accepted</v>
          </cell>
          <cell r="U237">
            <v>0</v>
          </cell>
          <cell r="V237" t="str">
            <v>Spring</v>
          </cell>
          <cell r="W237" t="str">
            <v>2016</v>
          </cell>
          <cell r="Z237" t="str">
            <v>High School</v>
          </cell>
          <cell r="AA237">
            <v>2015</v>
          </cell>
          <cell r="AB237">
            <v>2</v>
          </cell>
          <cell r="AC237">
            <v>2</v>
          </cell>
          <cell r="AD237" t="str">
            <v>science</v>
          </cell>
          <cell r="AE237" t="str">
            <v>Kawa</v>
          </cell>
          <cell r="AF237" t="str">
            <v>Duhok</v>
          </cell>
          <cell r="AG237" t="str">
            <v>Chamshahid Village</v>
          </cell>
          <cell r="AH237">
            <v>58</v>
          </cell>
          <cell r="AK237">
            <v>58</v>
          </cell>
          <cell r="AL237">
            <v>1</v>
          </cell>
          <cell r="AM237">
            <v>59</v>
          </cell>
          <cell r="AP237">
            <v>1</v>
          </cell>
          <cell r="BG237">
            <v>1</v>
          </cell>
        </row>
        <row r="238">
          <cell r="D238" t="str">
            <v>A21600043</v>
          </cell>
          <cell r="E238" t="str">
            <v>Nihad</v>
          </cell>
          <cell r="F238" t="str">
            <v>Khaleel</v>
          </cell>
          <cell r="G238" t="str">
            <v>Najman</v>
          </cell>
          <cell r="H238" t="str">
            <v>Male</v>
          </cell>
          <cell r="I238">
            <v>1994</v>
          </cell>
          <cell r="J238" t="str">
            <v>Kurdish</v>
          </cell>
          <cell r="K238" t="str">
            <v>0750 191 8192</v>
          </cell>
          <cell r="L238" t="str">
            <v>0750 408 1292</v>
          </cell>
          <cell r="N238" t="str">
            <v>No</v>
          </cell>
          <cell r="O238" t="str">
            <v>No</v>
          </cell>
          <cell r="P238" t="str">
            <v>Local</v>
          </cell>
          <cell r="Q238" t="str">
            <v>First Year</v>
          </cell>
          <cell r="R238" t="str">
            <v>Political Prisoner</v>
          </cell>
          <cell r="T238" t="str">
            <v>Accepted</v>
          </cell>
          <cell r="U238">
            <v>0</v>
          </cell>
          <cell r="V238" t="str">
            <v>Spring</v>
          </cell>
          <cell r="W238" t="str">
            <v>2016</v>
          </cell>
          <cell r="Z238" t="str">
            <v>High School</v>
          </cell>
          <cell r="AA238">
            <v>2015</v>
          </cell>
          <cell r="AB238">
            <v>2</v>
          </cell>
          <cell r="AC238">
            <v>2</v>
          </cell>
          <cell r="AD238" t="str">
            <v>science</v>
          </cell>
          <cell r="AE238" t="str">
            <v>Duhok</v>
          </cell>
          <cell r="AF238" t="str">
            <v>Duhok</v>
          </cell>
          <cell r="AG238" t="str">
            <v>Hay-Alshorta</v>
          </cell>
          <cell r="AH238">
            <v>70.8</v>
          </cell>
          <cell r="AK238">
            <v>70.8</v>
          </cell>
          <cell r="AL238">
            <v>1</v>
          </cell>
          <cell r="AM238">
            <v>71.8</v>
          </cell>
          <cell r="AP238">
            <v>1</v>
          </cell>
          <cell r="BI238">
            <v>1</v>
          </cell>
        </row>
        <row r="239">
          <cell r="D239" t="str">
            <v>A21600044</v>
          </cell>
          <cell r="E239" t="str">
            <v>Zanyar</v>
          </cell>
          <cell r="F239" t="str">
            <v>Sidqi</v>
          </cell>
          <cell r="G239" t="str">
            <v>Mohammed</v>
          </cell>
          <cell r="H239" t="str">
            <v>Male</v>
          </cell>
          <cell r="I239">
            <v>1995</v>
          </cell>
          <cell r="J239" t="str">
            <v>Kurdish</v>
          </cell>
          <cell r="K239" t="str">
            <v>0750 741 4108</v>
          </cell>
          <cell r="L239" t="str">
            <v>0750 494 9466</v>
          </cell>
          <cell r="N239" t="str">
            <v>No</v>
          </cell>
          <cell r="O239" t="str">
            <v>Yes</v>
          </cell>
          <cell r="P239" t="str">
            <v>Local</v>
          </cell>
          <cell r="Q239" t="str">
            <v>First Year</v>
          </cell>
          <cell r="R239" t="str">
            <v>Political Prisoner</v>
          </cell>
          <cell r="T239" t="str">
            <v>Accepted</v>
          </cell>
          <cell r="U239">
            <v>0</v>
          </cell>
          <cell r="V239" t="str">
            <v>Spring</v>
          </cell>
          <cell r="W239" t="str">
            <v>2016</v>
          </cell>
          <cell r="Z239" t="str">
            <v>High School</v>
          </cell>
          <cell r="AA239">
            <v>2015</v>
          </cell>
          <cell r="AB239">
            <v>3</v>
          </cell>
          <cell r="AC239">
            <v>2</v>
          </cell>
          <cell r="AD239" t="str">
            <v>science</v>
          </cell>
          <cell r="AE239" t="str">
            <v>Havbon</v>
          </cell>
          <cell r="AF239" t="str">
            <v>Duhok</v>
          </cell>
          <cell r="AG239" t="str">
            <v>Deralok</v>
          </cell>
          <cell r="AH239">
            <v>78</v>
          </cell>
          <cell r="AI239">
            <v>68</v>
          </cell>
          <cell r="AJ239">
            <v>66</v>
          </cell>
          <cell r="AK239">
            <v>78</v>
          </cell>
          <cell r="AL239">
            <v>1</v>
          </cell>
          <cell r="AM239">
            <v>79</v>
          </cell>
          <cell r="AP239">
            <v>1</v>
          </cell>
          <cell r="BI239">
            <v>1</v>
          </cell>
        </row>
        <row r="240">
          <cell r="D240" t="str">
            <v>A21600045</v>
          </cell>
          <cell r="E240" t="str">
            <v>Rozheen</v>
          </cell>
          <cell r="F240" t="str">
            <v>Hikmat</v>
          </cell>
          <cell r="G240" t="str">
            <v>Abdulazeez</v>
          </cell>
          <cell r="H240" t="str">
            <v>Female</v>
          </cell>
          <cell r="I240">
            <v>1996</v>
          </cell>
          <cell r="K240" t="str">
            <v>0750 775 5335</v>
          </cell>
          <cell r="L240" t="str">
            <v>0750 777 2441</v>
          </cell>
          <cell r="N240" t="str">
            <v>Yes</v>
          </cell>
          <cell r="O240" t="str">
            <v>No</v>
          </cell>
          <cell r="P240" t="str">
            <v>Local</v>
          </cell>
          <cell r="Q240" t="str">
            <v>First Year</v>
          </cell>
          <cell r="R240" t="str">
            <v>Martyr's Aid</v>
          </cell>
          <cell r="T240" t="str">
            <v>Accepted</v>
          </cell>
          <cell r="U240">
            <v>0</v>
          </cell>
          <cell r="V240" t="str">
            <v>Spring</v>
          </cell>
          <cell r="W240" t="str">
            <v>2016</v>
          </cell>
          <cell r="Z240" t="str">
            <v>High School</v>
          </cell>
          <cell r="AA240">
            <v>2015</v>
          </cell>
          <cell r="AE240" t="str">
            <v>Shaleen</v>
          </cell>
          <cell r="AF240" t="str">
            <v>Duhok</v>
          </cell>
          <cell r="AG240" t="str">
            <v>Baroshke</v>
          </cell>
          <cell r="AH240">
            <v>58</v>
          </cell>
          <cell r="AK240">
            <v>58</v>
          </cell>
          <cell r="AL240">
            <v>1</v>
          </cell>
          <cell r="AM240">
            <v>59</v>
          </cell>
          <cell r="AP240">
            <v>1</v>
          </cell>
          <cell r="BG240">
            <v>1</v>
          </cell>
        </row>
        <row r="241">
          <cell r="D241" t="str">
            <v>A21600046</v>
          </cell>
          <cell r="E241" t="str">
            <v>Sagvan</v>
          </cell>
          <cell r="F241" t="str">
            <v>Mohammed</v>
          </cell>
          <cell r="G241" t="str">
            <v>Taher</v>
          </cell>
          <cell r="H241" t="str">
            <v>Male</v>
          </cell>
          <cell r="I241">
            <v>1992</v>
          </cell>
          <cell r="J241" t="str">
            <v>Kurdish</v>
          </cell>
          <cell r="K241" t="str">
            <v>0750 432 1686</v>
          </cell>
          <cell r="L241" t="str">
            <v>0750 848 8226</v>
          </cell>
          <cell r="N241" t="str">
            <v>No</v>
          </cell>
          <cell r="O241" t="str">
            <v>No</v>
          </cell>
          <cell r="P241" t="str">
            <v>Local</v>
          </cell>
          <cell r="Q241" t="str">
            <v>First Year</v>
          </cell>
          <cell r="R241" t="str">
            <v>Martyr's Aid</v>
          </cell>
          <cell r="T241" t="str">
            <v>Accepted</v>
          </cell>
          <cell r="U241">
            <v>0</v>
          </cell>
          <cell r="V241" t="str">
            <v>Spring</v>
          </cell>
          <cell r="W241" t="str">
            <v>2016</v>
          </cell>
          <cell r="Z241" t="str">
            <v>High School</v>
          </cell>
          <cell r="AA241">
            <v>2015</v>
          </cell>
          <cell r="AB241">
            <v>2</v>
          </cell>
          <cell r="AC241">
            <v>2</v>
          </cell>
          <cell r="AD241" t="str">
            <v>Arts</v>
          </cell>
          <cell r="AE241" t="str">
            <v>Semel</v>
          </cell>
          <cell r="AF241" t="str">
            <v>Duhok</v>
          </cell>
          <cell r="AG241" t="str">
            <v>Semel</v>
          </cell>
          <cell r="AH241">
            <v>58.5</v>
          </cell>
          <cell r="AI241">
            <v>63</v>
          </cell>
          <cell r="AJ241">
            <v>54.4</v>
          </cell>
          <cell r="AK241">
            <v>58.540000000000006</v>
          </cell>
          <cell r="AL241">
            <v>1</v>
          </cell>
          <cell r="AM241">
            <v>59.540000000000006</v>
          </cell>
          <cell r="AP241">
            <v>1</v>
          </cell>
          <cell r="AZ241">
            <v>1</v>
          </cell>
        </row>
        <row r="242">
          <cell r="D242" t="str">
            <v>A21600047</v>
          </cell>
          <cell r="E242" t="str">
            <v>Diyana</v>
          </cell>
          <cell r="F242" t="str">
            <v>Mohammed</v>
          </cell>
          <cell r="G242" t="str">
            <v>Hussein</v>
          </cell>
          <cell r="H242" t="str">
            <v>Female</v>
          </cell>
          <cell r="I242">
            <v>1997</v>
          </cell>
          <cell r="J242" t="str">
            <v>Kurdish</v>
          </cell>
          <cell r="K242" t="str">
            <v>0750 759 9795</v>
          </cell>
          <cell r="L242" t="str">
            <v>0750 429 3090</v>
          </cell>
          <cell r="N242" t="str">
            <v>No</v>
          </cell>
          <cell r="O242" t="str">
            <v>No</v>
          </cell>
          <cell r="P242" t="str">
            <v>Local</v>
          </cell>
          <cell r="Q242" t="str">
            <v>First Year</v>
          </cell>
          <cell r="R242" t="str">
            <v>Regular</v>
          </cell>
          <cell r="T242" t="str">
            <v>Accepted</v>
          </cell>
          <cell r="U242">
            <v>0</v>
          </cell>
          <cell r="V242" t="str">
            <v>Spring</v>
          </cell>
          <cell r="W242" t="str">
            <v>2016</v>
          </cell>
          <cell r="Z242" t="str">
            <v>High School</v>
          </cell>
          <cell r="AA242">
            <v>2015</v>
          </cell>
          <cell r="AB242">
            <v>1</v>
          </cell>
          <cell r="AC242">
            <v>2</v>
          </cell>
          <cell r="AD242" t="str">
            <v>science</v>
          </cell>
          <cell r="AE242" t="str">
            <v>Awaz</v>
          </cell>
          <cell r="AF242" t="str">
            <v>Duhok</v>
          </cell>
          <cell r="AG242" t="str">
            <v xml:space="preserve">Kato </v>
          </cell>
          <cell r="AH242">
            <v>54</v>
          </cell>
          <cell r="AK242">
            <v>54</v>
          </cell>
          <cell r="AL242">
            <v>1</v>
          </cell>
          <cell r="AM242">
            <v>55</v>
          </cell>
          <cell r="AP242">
            <v>2</v>
          </cell>
          <cell r="BB242">
            <v>1</v>
          </cell>
        </row>
        <row r="243">
          <cell r="D243" t="str">
            <v>A21600048</v>
          </cell>
          <cell r="E243" t="str">
            <v>Shivan</v>
          </cell>
          <cell r="F243" t="str">
            <v>Hameed</v>
          </cell>
          <cell r="G243" t="str">
            <v>Mohammed</v>
          </cell>
          <cell r="H243" t="str">
            <v>Male</v>
          </cell>
          <cell r="I243">
            <v>1992</v>
          </cell>
          <cell r="J243" t="str">
            <v>Kurdish</v>
          </cell>
          <cell r="K243" t="str">
            <v>0750 405 7293</v>
          </cell>
          <cell r="L243" t="str">
            <v>0750 450 0171</v>
          </cell>
          <cell r="N243" t="str">
            <v>No</v>
          </cell>
          <cell r="O243" t="str">
            <v>No</v>
          </cell>
          <cell r="P243" t="str">
            <v>Local</v>
          </cell>
          <cell r="Q243" t="str">
            <v>First Year</v>
          </cell>
          <cell r="R243" t="str">
            <v>Martyr's Aid</v>
          </cell>
          <cell r="T243" t="str">
            <v>Accepted</v>
          </cell>
          <cell r="U243">
            <v>0</v>
          </cell>
          <cell r="V243" t="str">
            <v>Spring</v>
          </cell>
          <cell r="W243" t="str">
            <v>2016</v>
          </cell>
          <cell r="Z243" t="str">
            <v>High School</v>
          </cell>
          <cell r="AA243">
            <v>2015</v>
          </cell>
          <cell r="AB243">
            <v>2</v>
          </cell>
          <cell r="AC243">
            <v>2</v>
          </cell>
          <cell r="AD243" t="str">
            <v>Science</v>
          </cell>
          <cell r="AE243" t="str">
            <v>Yarmand</v>
          </cell>
          <cell r="AF243" t="str">
            <v>Duhok</v>
          </cell>
          <cell r="AG243" t="str">
            <v>Zari Land</v>
          </cell>
          <cell r="AH243">
            <v>58.8</v>
          </cell>
          <cell r="AK243">
            <v>58.8</v>
          </cell>
          <cell r="AL243">
            <v>1</v>
          </cell>
          <cell r="AM243">
            <v>59.8</v>
          </cell>
          <cell r="AP243">
            <v>2</v>
          </cell>
          <cell r="BB243">
            <v>2</v>
          </cell>
          <cell r="BG243">
            <v>1</v>
          </cell>
        </row>
        <row r="244">
          <cell r="D244" t="str">
            <v>A21600049</v>
          </cell>
          <cell r="E244" t="str">
            <v>Valia</v>
          </cell>
          <cell r="F244" t="str">
            <v>Jamal</v>
          </cell>
          <cell r="G244" t="str">
            <v>Yaqo</v>
          </cell>
          <cell r="H244" t="str">
            <v>Female</v>
          </cell>
          <cell r="I244">
            <v>1994</v>
          </cell>
          <cell r="J244" t="str">
            <v>Kurdish</v>
          </cell>
          <cell r="K244" t="str">
            <v>0750 450 6604</v>
          </cell>
          <cell r="N244" t="str">
            <v>No</v>
          </cell>
          <cell r="O244" t="str">
            <v>No</v>
          </cell>
          <cell r="P244" t="str">
            <v>Local</v>
          </cell>
          <cell r="Q244" t="str">
            <v>First Year</v>
          </cell>
          <cell r="R244" t="str">
            <v>Regular</v>
          </cell>
          <cell r="T244" t="str">
            <v>Accepted</v>
          </cell>
          <cell r="U244">
            <v>0</v>
          </cell>
          <cell r="V244" t="str">
            <v>Spring</v>
          </cell>
          <cell r="W244" t="str">
            <v>2016</v>
          </cell>
          <cell r="Z244" t="str">
            <v>5-Year Institute</v>
          </cell>
          <cell r="AA244">
            <v>2015</v>
          </cell>
          <cell r="AB244">
            <v>1</v>
          </cell>
          <cell r="AC244">
            <v>1</v>
          </cell>
          <cell r="AD244" t="str">
            <v>Science</v>
          </cell>
          <cell r="AE244" t="str">
            <v>Computer Institute</v>
          </cell>
          <cell r="AF244" t="str">
            <v>Duhok</v>
          </cell>
          <cell r="AG244" t="str">
            <v>Sumel</v>
          </cell>
          <cell r="AH244">
            <v>99</v>
          </cell>
          <cell r="AK244">
            <v>99</v>
          </cell>
          <cell r="AM244">
            <v>99</v>
          </cell>
          <cell r="AP244">
            <v>2</v>
          </cell>
          <cell r="AS244">
            <v>1</v>
          </cell>
        </row>
        <row r="245">
          <cell r="D245" t="str">
            <v>A21600050</v>
          </cell>
          <cell r="E245" t="str">
            <v>Kareem</v>
          </cell>
          <cell r="F245" t="str">
            <v>Habib</v>
          </cell>
          <cell r="G245" t="str">
            <v>Ahmed</v>
          </cell>
          <cell r="H245" t="str">
            <v>Male</v>
          </cell>
          <cell r="I245">
            <v>1987</v>
          </cell>
          <cell r="J245" t="str">
            <v>Kurdish</v>
          </cell>
          <cell r="K245" t="str">
            <v>0750 488 8255</v>
          </cell>
          <cell r="L245" t="str">
            <v>0750 490 2873</v>
          </cell>
          <cell r="N245" t="str">
            <v>No</v>
          </cell>
          <cell r="O245" t="str">
            <v>No</v>
          </cell>
          <cell r="P245" t="str">
            <v>Local</v>
          </cell>
          <cell r="Q245" t="str">
            <v>First Year</v>
          </cell>
          <cell r="R245" t="str">
            <v>Martyr's Aid</v>
          </cell>
          <cell r="T245" t="str">
            <v>Accepted</v>
          </cell>
          <cell r="U245">
            <v>0</v>
          </cell>
          <cell r="V245" t="str">
            <v>Spring</v>
          </cell>
          <cell r="W245" t="str">
            <v>2016</v>
          </cell>
          <cell r="Z245" t="str">
            <v>High School</v>
          </cell>
          <cell r="AA245">
            <v>2015</v>
          </cell>
          <cell r="AB245">
            <v>1</v>
          </cell>
          <cell r="AC245">
            <v>1</v>
          </cell>
          <cell r="AD245" t="str">
            <v>Arts</v>
          </cell>
          <cell r="AE245" t="str">
            <v>Home School</v>
          </cell>
          <cell r="AF245" t="str">
            <v>Duhok</v>
          </cell>
          <cell r="AG245" t="str">
            <v>Baroshke</v>
          </cell>
          <cell r="AH245">
            <v>58.7</v>
          </cell>
          <cell r="AK245">
            <v>58.7</v>
          </cell>
          <cell r="AM245">
            <v>58.7</v>
          </cell>
          <cell r="AP245">
            <v>1</v>
          </cell>
          <cell r="BG245">
            <v>1</v>
          </cell>
        </row>
        <row r="246">
          <cell r="D246" t="str">
            <v>A21600051</v>
          </cell>
          <cell r="E246" t="str">
            <v>Abdi</v>
          </cell>
          <cell r="F246" t="str">
            <v>Najim</v>
          </cell>
          <cell r="G246" t="str">
            <v>Abdal</v>
          </cell>
          <cell r="H246" t="str">
            <v>Male</v>
          </cell>
          <cell r="K246" t="str">
            <v>0750 450 8974</v>
          </cell>
          <cell r="L246" t="str">
            <v>0750 450 8971</v>
          </cell>
          <cell r="N246" t="str">
            <v>No</v>
          </cell>
          <cell r="O246" t="str">
            <v>No</v>
          </cell>
          <cell r="P246" t="str">
            <v>Local</v>
          </cell>
          <cell r="Q246" t="str">
            <v>First Year</v>
          </cell>
          <cell r="R246" t="str">
            <v>Regular</v>
          </cell>
          <cell r="T246" t="str">
            <v>Pending</v>
          </cell>
          <cell r="V246" t="str">
            <v>Spring</v>
          </cell>
          <cell r="W246" t="str">
            <v>2016</v>
          </cell>
          <cell r="Z246" t="str">
            <v>High School</v>
          </cell>
          <cell r="AA246">
            <v>2015</v>
          </cell>
          <cell r="AE246" t="str">
            <v>Dijla</v>
          </cell>
          <cell r="AF246" t="str">
            <v>Duhok</v>
          </cell>
          <cell r="AK246">
            <v>0</v>
          </cell>
          <cell r="AM246">
            <v>0</v>
          </cell>
          <cell r="AP246">
            <v>1</v>
          </cell>
          <cell r="AX246" t="str">
            <v xml:space="preserve"> </v>
          </cell>
          <cell r="AZ246">
            <v>1</v>
          </cell>
          <cell r="BA246">
            <v>1</v>
          </cell>
          <cell r="BG246">
            <v>1</v>
          </cell>
        </row>
        <row r="247">
          <cell r="D247" t="str">
            <v>A21600052</v>
          </cell>
          <cell r="E247" t="str">
            <v>Amena</v>
          </cell>
          <cell r="F247" t="str">
            <v>Dalshad</v>
          </cell>
          <cell r="G247" t="str">
            <v>Abdulhameed</v>
          </cell>
          <cell r="H247" t="str">
            <v>Female</v>
          </cell>
          <cell r="I247">
            <v>1997</v>
          </cell>
          <cell r="J247" t="str">
            <v>Kurdish</v>
          </cell>
          <cell r="K247" t="str">
            <v>0750 445 5433</v>
          </cell>
          <cell r="L247" t="str">
            <v>0750 450 9976</v>
          </cell>
          <cell r="N247" t="str">
            <v>No</v>
          </cell>
          <cell r="O247" t="str">
            <v>No</v>
          </cell>
          <cell r="P247" t="str">
            <v>Local</v>
          </cell>
          <cell r="Q247" t="str">
            <v>First Year</v>
          </cell>
          <cell r="R247" t="str">
            <v>Siblings</v>
          </cell>
          <cell r="T247" t="str">
            <v>Accepted</v>
          </cell>
          <cell r="U247">
            <v>0</v>
          </cell>
          <cell r="V247" t="str">
            <v>Spring</v>
          </cell>
          <cell r="W247" t="str">
            <v>2016</v>
          </cell>
          <cell r="Z247" t="str">
            <v>High School</v>
          </cell>
          <cell r="AA247">
            <v>2015</v>
          </cell>
          <cell r="AB247">
            <v>1</v>
          </cell>
          <cell r="AC247">
            <v>2</v>
          </cell>
          <cell r="AD247" t="str">
            <v>science</v>
          </cell>
          <cell r="AE247" t="str">
            <v>Duhok</v>
          </cell>
          <cell r="AF247" t="str">
            <v>Duhok</v>
          </cell>
          <cell r="AG247" t="str">
            <v>Grebase</v>
          </cell>
          <cell r="AH247">
            <v>62</v>
          </cell>
          <cell r="AK247">
            <v>62</v>
          </cell>
          <cell r="AL247">
            <v>1</v>
          </cell>
          <cell r="AM247">
            <v>63</v>
          </cell>
          <cell r="AP247">
            <v>2</v>
          </cell>
          <cell r="BJ247">
            <v>1</v>
          </cell>
        </row>
        <row r="248">
          <cell r="D248" t="str">
            <v>A21600053</v>
          </cell>
          <cell r="E248" t="str">
            <v>Darvan</v>
          </cell>
          <cell r="F248" t="str">
            <v>Azat</v>
          </cell>
          <cell r="G248" t="str">
            <v>Fatah</v>
          </cell>
          <cell r="H248" t="str">
            <v>Male</v>
          </cell>
          <cell r="I248">
            <v>1995</v>
          </cell>
          <cell r="K248" t="str">
            <v>0750 420 5641</v>
          </cell>
          <cell r="N248" t="str">
            <v>No</v>
          </cell>
          <cell r="O248" t="str">
            <v>No</v>
          </cell>
          <cell r="P248" t="str">
            <v>Local</v>
          </cell>
          <cell r="Q248" t="str">
            <v>First Year</v>
          </cell>
          <cell r="R248" t="str">
            <v>Regular</v>
          </cell>
          <cell r="T248" t="str">
            <v>Accepted</v>
          </cell>
          <cell r="U248">
            <v>0</v>
          </cell>
          <cell r="V248" t="str">
            <v>Spring</v>
          </cell>
          <cell r="W248" t="str">
            <v>2016</v>
          </cell>
          <cell r="Z248" t="str">
            <v>High School</v>
          </cell>
          <cell r="AA248">
            <v>2015</v>
          </cell>
          <cell r="AE248" t="str">
            <v>Brayte</v>
          </cell>
          <cell r="AF248" t="str">
            <v>Duhok</v>
          </cell>
          <cell r="AG248" t="str">
            <v>Takhe ronahi</v>
          </cell>
          <cell r="AH248">
            <v>56</v>
          </cell>
          <cell r="AK248">
            <v>56</v>
          </cell>
          <cell r="AL248">
            <v>1</v>
          </cell>
          <cell r="AM248">
            <v>57</v>
          </cell>
          <cell r="AP248">
            <v>2</v>
          </cell>
          <cell r="BG248">
            <v>1</v>
          </cell>
        </row>
        <row r="249">
          <cell r="D249" t="str">
            <v>A21600054</v>
          </cell>
          <cell r="E249" t="str">
            <v xml:space="preserve">Bilind </v>
          </cell>
          <cell r="F249" t="str">
            <v>Hawar</v>
          </cell>
          <cell r="G249" t="str">
            <v>Naseradeen</v>
          </cell>
          <cell r="H249" t="str">
            <v>Male</v>
          </cell>
          <cell r="K249" t="str">
            <v>0750 406 0989</v>
          </cell>
          <cell r="L249" t="str">
            <v>0750 450 5445</v>
          </cell>
          <cell r="N249" t="str">
            <v>No</v>
          </cell>
          <cell r="O249" t="str">
            <v>No</v>
          </cell>
          <cell r="P249" t="str">
            <v>Local</v>
          </cell>
          <cell r="Q249" t="str">
            <v>First Year</v>
          </cell>
          <cell r="R249" t="str">
            <v>Regular</v>
          </cell>
          <cell r="T249" t="str">
            <v>Pending</v>
          </cell>
          <cell r="V249" t="str">
            <v>Spring</v>
          </cell>
          <cell r="W249" t="str">
            <v>2016</v>
          </cell>
          <cell r="Z249" t="str">
            <v>High School</v>
          </cell>
          <cell r="AA249">
            <v>2015</v>
          </cell>
          <cell r="AE249" t="str">
            <v>Sadeqbahaadeen</v>
          </cell>
          <cell r="AF249" t="str">
            <v>Duhok</v>
          </cell>
          <cell r="AG249" t="str">
            <v>Takhe Serbesta</v>
          </cell>
          <cell r="AH249">
            <v>55</v>
          </cell>
          <cell r="AK249">
            <v>55</v>
          </cell>
          <cell r="AM249">
            <v>55</v>
          </cell>
          <cell r="AP249">
            <v>5</v>
          </cell>
          <cell r="AZ249">
            <v>2</v>
          </cell>
          <cell r="BG249">
            <v>1</v>
          </cell>
        </row>
        <row r="250">
          <cell r="D250" t="str">
            <v>A21600055</v>
          </cell>
          <cell r="E250" t="str">
            <v>Agiree</v>
          </cell>
          <cell r="F250" t="str">
            <v>Abdulkhlq</v>
          </cell>
          <cell r="G250" t="str">
            <v>Abdusalam</v>
          </cell>
          <cell r="H250" t="str">
            <v>Male</v>
          </cell>
          <cell r="I250">
            <v>1992</v>
          </cell>
          <cell r="J250" t="str">
            <v>Kurdish</v>
          </cell>
          <cell r="K250" t="str">
            <v>0750 825 4142</v>
          </cell>
          <cell r="L250" t="str">
            <v>0750 423 5404</v>
          </cell>
          <cell r="N250" t="str">
            <v>No</v>
          </cell>
          <cell r="O250" t="str">
            <v>No</v>
          </cell>
          <cell r="P250" t="str">
            <v>Local</v>
          </cell>
          <cell r="Q250" t="str">
            <v>First Year</v>
          </cell>
          <cell r="R250" t="str">
            <v>Regular</v>
          </cell>
          <cell r="T250" t="str">
            <v>Accepted</v>
          </cell>
          <cell r="U250">
            <v>0</v>
          </cell>
          <cell r="V250" t="str">
            <v>Spring</v>
          </cell>
          <cell r="W250" t="str">
            <v>2016</v>
          </cell>
          <cell r="Z250" t="str">
            <v>High School</v>
          </cell>
          <cell r="AA250">
            <v>2015</v>
          </cell>
          <cell r="AB250">
            <v>1</v>
          </cell>
          <cell r="AC250">
            <v>2</v>
          </cell>
          <cell r="AD250" t="str">
            <v>Arts</v>
          </cell>
          <cell r="AE250" t="str">
            <v>Yarmand</v>
          </cell>
          <cell r="AF250" t="str">
            <v>Duhok</v>
          </cell>
          <cell r="AG250" t="str">
            <v>Grebase</v>
          </cell>
          <cell r="AH250">
            <v>65</v>
          </cell>
          <cell r="AK250">
            <v>65</v>
          </cell>
          <cell r="AL250">
            <v>1</v>
          </cell>
          <cell r="AM250">
            <v>66</v>
          </cell>
          <cell r="AP250">
            <v>1</v>
          </cell>
          <cell r="AX250">
            <v>3</v>
          </cell>
          <cell r="BG250">
            <v>2</v>
          </cell>
          <cell r="BJ250">
            <v>1</v>
          </cell>
        </row>
        <row r="251">
          <cell r="D251" t="str">
            <v>A21600056</v>
          </cell>
          <cell r="E251" t="str">
            <v>Yara</v>
          </cell>
          <cell r="F251" t="str">
            <v>Murad</v>
          </cell>
          <cell r="G251" t="str">
            <v>Shroo</v>
          </cell>
          <cell r="H251" t="str">
            <v>Female</v>
          </cell>
          <cell r="I251">
            <v>1994</v>
          </cell>
          <cell r="J251" t="str">
            <v>Kurdish</v>
          </cell>
          <cell r="K251" t="str">
            <v>0750 742 1347</v>
          </cell>
          <cell r="L251" t="str">
            <v>0750 381 7331</v>
          </cell>
          <cell r="M251" t="str">
            <v xml:space="preserve"> </v>
          </cell>
          <cell r="N251" t="str">
            <v>No</v>
          </cell>
          <cell r="O251" t="str">
            <v>No</v>
          </cell>
          <cell r="P251" t="str">
            <v>Local</v>
          </cell>
          <cell r="Q251" t="str">
            <v>First Year</v>
          </cell>
          <cell r="R251" t="str">
            <v>Regular</v>
          </cell>
          <cell r="T251" t="str">
            <v>Accepted</v>
          </cell>
          <cell r="U251">
            <v>0</v>
          </cell>
          <cell r="V251" t="str">
            <v>Spring</v>
          </cell>
          <cell r="W251" t="str">
            <v>2016</v>
          </cell>
          <cell r="Z251" t="str">
            <v>High School</v>
          </cell>
          <cell r="AA251">
            <v>2015</v>
          </cell>
          <cell r="AB251">
            <v>1</v>
          </cell>
          <cell r="AC251">
            <v>1</v>
          </cell>
          <cell r="AD251" t="str">
            <v>Science</v>
          </cell>
          <cell r="AE251" t="str">
            <v>Buhadar</v>
          </cell>
          <cell r="AF251" t="str">
            <v>Duhok</v>
          </cell>
          <cell r="AG251" t="str">
            <v>Shariya</v>
          </cell>
          <cell r="AH251">
            <v>65</v>
          </cell>
          <cell r="AK251">
            <v>65</v>
          </cell>
          <cell r="AM251">
            <v>65</v>
          </cell>
          <cell r="AN251">
            <v>64</v>
          </cell>
          <cell r="AP251" t="str">
            <v xml:space="preserve"> </v>
          </cell>
          <cell r="AW251">
            <v>1</v>
          </cell>
        </row>
        <row r="252">
          <cell r="D252" t="str">
            <v>A21600057</v>
          </cell>
          <cell r="E252" t="str">
            <v>Masoud</v>
          </cell>
          <cell r="F252" t="str">
            <v>Ali</v>
          </cell>
          <cell r="G252" t="str">
            <v>Abo</v>
          </cell>
          <cell r="H252" t="str">
            <v>Male</v>
          </cell>
          <cell r="I252">
            <v>1994</v>
          </cell>
          <cell r="J252" t="str">
            <v>Kurdish</v>
          </cell>
          <cell r="K252" t="str">
            <v>0750 215 4550</v>
          </cell>
          <cell r="L252" t="str">
            <v>0750 446 0326</v>
          </cell>
          <cell r="N252" t="str">
            <v>No</v>
          </cell>
          <cell r="O252" t="str">
            <v>No</v>
          </cell>
          <cell r="P252" t="str">
            <v>Local</v>
          </cell>
          <cell r="Q252" t="str">
            <v>First Year</v>
          </cell>
          <cell r="R252" t="str">
            <v>Martyr's Aid</v>
          </cell>
          <cell r="T252" t="str">
            <v>Accepted</v>
          </cell>
          <cell r="U252">
            <v>0</v>
          </cell>
          <cell r="V252" t="str">
            <v>Spring</v>
          </cell>
          <cell r="W252" t="str">
            <v>2016</v>
          </cell>
          <cell r="Z252" t="str">
            <v>High School</v>
          </cell>
          <cell r="AA252">
            <v>2015</v>
          </cell>
          <cell r="AB252">
            <v>3</v>
          </cell>
          <cell r="AC252">
            <v>2</v>
          </cell>
          <cell r="AD252" t="str">
            <v>Science</v>
          </cell>
          <cell r="AE252" t="str">
            <v>Batel</v>
          </cell>
          <cell r="AF252" t="str">
            <v>Duhok</v>
          </cell>
          <cell r="AH252">
            <v>62.5</v>
          </cell>
          <cell r="AK252">
            <v>62.5</v>
          </cell>
          <cell r="AL252">
            <v>1</v>
          </cell>
          <cell r="AM252">
            <v>63.5</v>
          </cell>
          <cell r="AP252">
            <v>1</v>
          </cell>
          <cell r="BG252">
            <v>1</v>
          </cell>
        </row>
        <row r="253">
          <cell r="D253" t="str">
            <v>A21600058</v>
          </cell>
          <cell r="E253" t="str">
            <v>Hevi</v>
          </cell>
          <cell r="F253" t="str">
            <v>Yousif</v>
          </cell>
          <cell r="G253" t="str">
            <v>Mahmood</v>
          </cell>
          <cell r="H253" t="str">
            <v>Female</v>
          </cell>
          <cell r="I253">
            <v>1989</v>
          </cell>
          <cell r="J253" t="str">
            <v>Kurdish</v>
          </cell>
          <cell r="K253" t="str">
            <v>0750 433 5138</v>
          </cell>
          <cell r="L253" t="str">
            <v>0750 431 6159</v>
          </cell>
          <cell r="N253" t="str">
            <v>No</v>
          </cell>
          <cell r="O253" t="str">
            <v>No</v>
          </cell>
          <cell r="P253" t="str">
            <v>Local</v>
          </cell>
          <cell r="Q253" t="str">
            <v>First Year</v>
          </cell>
          <cell r="R253" t="str">
            <v>Political Prisoner</v>
          </cell>
          <cell r="T253" t="str">
            <v>Accepted</v>
          </cell>
          <cell r="U253">
            <v>0</v>
          </cell>
          <cell r="V253" t="str">
            <v>Spring</v>
          </cell>
          <cell r="W253" t="str">
            <v>2016</v>
          </cell>
          <cell r="Z253" t="str">
            <v>High School</v>
          </cell>
          <cell r="AA253">
            <v>2010</v>
          </cell>
          <cell r="AB253">
            <v>4</v>
          </cell>
          <cell r="AC253">
            <v>2</v>
          </cell>
          <cell r="AD253" t="str">
            <v>Science</v>
          </cell>
          <cell r="AE253" t="str">
            <v>Hayv</v>
          </cell>
          <cell r="AF253" t="str">
            <v>Duhok</v>
          </cell>
          <cell r="AG253" t="str">
            <v>Grebase</v>
          </cell>
          <cell r="AH253">
            <v>59.5</v>
          </cell>
          <cell r="AK253">
            <v>59.5</v>
          </cell>
          <cell r="AM253">
            <v>59.5</v>
          </cell>
          <cell r="AP253">
            <v>0</v>
          </cell>
          <cell r="BD253">
            <v>1</v>
          </cell>
        </row>
        <row r="254">
          <cell r="D254" t="str">
            <v>A21600059</v>
          </cell>
          <cell r="E254" t="str">
            <v>Khalida</v>
          </cell>
          <cell r="F254" t="str">
            <v>Abdo</v>
          </cell>
          <cell r="G254" t="str">
            <v>Naser</v>
          </cell>
          <cell r="H254" t="str">
            <v>Female</v>
          </cell>
          <cell r="I254">
            <v>1992</v>
          </cell>
          <cell r="J254" t="str">
            <v>Kurdish</v>
          </cell>
          <cell r="K254" t="str">
            <v>0750 795 7010</v>
          </cell>
          <cell r="L254" t="str">
            <v>0750 350 4733</v>
          </cell>
          <cell r="N254" t="str">
            <v>Yes</v>
          </cell>
          <cell r="O254" t="str">
            <v>No</v>
          </cell>
          <cell r="P254" t="str">
            <v>Local</v>
          </cell>
          <cell r="Q254" t="str">
            <v>First Year</v>
          </cell>
          <cell r="R254" t="str">
            <v>Political Prisoner</v>
          </cell>
          <cell r="T254" t="str">
            <v>Accepted</v>
          </cell>
          <cell r="U254">
            <v>0</v>
          </cell>
          <cell r="V254" t="str">
            <v>Spring</v>
          </cell>
          <cell r="W254" t="str">
            <v>2016</v>
          </cell>
          <cell r="Z254" t="str">
            <v>High School</v>
          </cell>
          <cell r="AA254">
            <v>2010</v>
          </cell>
          <cell r="AB254">
            <v>1</v>
          </cell>
          <cell r="AC254">
            <v>2</v>
          </cell>
          <cell r="AD254" t="str">
            <v>Science</v>
          </cell>
          <cell r="AE254" t="str">
            <v>Khanik</v>
          </cell>
          <cell r="AF254" t="str">
            <v>Duhok</v>
          </cell>
          <cell r="AG254" t="str">
            <v>Khanke</v>
          </cell>
          <cell r="AH254">
            <v>75.400000000000006</v>
          </cell>
          <cell r="AK254">
            <v>75.400000000000006</v>
          </cell>
          <cell r="AM254">
            <v>75.400000000000006</v>
          </cell>
          <cell r="AP254">
            <v>3</v>
          </cell>
          <cell r="BG254">
            <v>2</v>
          </cell>
          <cell r="BJ254">
            <v>1</v>
          </cell>
        </row>
        <row r="255">
          <cell r="D255" t="str">
            <v>A21600060</v>
          </cell>
          <cell r="E255" t="str">
            <v xml:space="preserve">Mehvan </v>
          </cell>
          <cell r="F255" t="str">
            <v>Abdulsatar</v>
          </cell>
          <cell r="G255" t="str">
            <v>Ismael</v>
          </cell>
          <cell r="H255" t="str">
            <v>Male</v>
          </cell>
          <cell r="I255">
            <v>1990</v>
          </cell>
          <cell r="K255" t="str">
            <v>0750 428 3549</v>
          </cell>
          <cell r="L255" t="str">
            <v>0750 375 9595</v>
          </cell>
          <cell r="N255" t="str">
            <v>Yes</v>
          </cell>
          <cell r="O255" t="str">
            <v>No</v>
          </cell>
          <cell r="P255" t="str">
            <v>Local</v>
          </cell>
          <cell r="Q255" t="str">
            <v>First Year</v>
          </cell>
          <cell r="R255" t="str">
            <v>Martyr's Aid</v>
          </cell>
          <cell r="T255" t="str">
            <v>Accepted</v>
          </cell>
          <cell r="U255">
            <v>0</v>
          </cell>
          <cell r="V255" t="str">
            <v>Spring</v>
          </cell>
          <cell r="W255" t="str">
            <v>2016</v>
          </cell>
          <cell r="Z255" t="str">
            <v>High School</v>
          </cell>
          <cell r="AA255">
            <v>2015</v>
          </cell>
          <cell r="AE255" t="str">
            <v>Brifka</v>
          </cell>
          <cell r="AF255" t="str">
            <v>Duhok</v>
          </cell>
          <cell r="AG255" t="str">
            <v>Grebase</v>
          </cell>
          <cell r="AH255">
            <v>56.8</v>
          </cell>
          <cell r="AK255">
            <v>56.8</v>
          </cell>
          <cell r="AL255">
            <v>1</v>
          </cell>
          <cell r="AM255">
            <v>57.8</v>
          </cell>
          <cell r="AP255">
            <v>2</v>
          </cell>
          <cell r="BB255">
            <v>1</v>
          </cell>
          <cell r="BG255">
            <v>1</v>
          </cell>
        </row>
        <row r="256">
          <cell r="D256" t="str">
            <v>A21600061</v>
          </cell>
          <cell r="E256" t="str">
            <v>Saad</v>
          </cell>
          <cell r="F256" t="str">
            <v>Sabhan</v>
          </cell>
          <cell r="G256" t="str">
            <v>Mohammed Salih</v>
          </cell>
          <cell r="H256" t="str">
            <v>Male</v>
          </cell>
          <cell r="I256">
            <v>1996</v>
          </cell>
          <cell r="J256" t="str">
            <v>Arab</v>
          </cell>
          <cell r="K256" t="str">
            <v>0750 412 3333</v>
          </cell>
          <cell r="N256" t="str">
            <v>No</v>
          </cell>
          <cell r="O256" t="str">
            <v>No</v>
          </cell>
          <cell r="P256" t="str">
            <v>International</v>
          </cell>
          <cell r="Q256" t="str">
            <v>First Year</v>
          </cell>
          <cell r="R256" t="str">
            <v>Regular</v>
          </cell>
          <cell r="T256" t="str">
            <v>Accepted</v>
          </cell>
          <cell r="U256">
            <v>0</v>
          </cell>
          <cell r="V256" t="str">
            <v>Spring</v>
          </cell>
          <cell r="W256" t="str">
            <v>2016</v>
          </cell>
          <cell r="Z256" t="str">
            <v>High School</v>
          </cell>
          <cell r="AA256">
            <v>2015</v>
          </cell>
          <cell r="AE256" t="str">
            <v>Al Furqan</v>
          </cell>
          <cell r="AF256" t="str">
            <v>Duhok</v>
          </cell>
          <cell r="AG256" t="str">
            <v>Malta</v>
          </cell>
          <cell r="AH256">
            <v>62.9</v>
          </cell>
          <cell r="AK256">
            <v>62.9</v>
          </cell>
          <cell r="AM256">
            <v>62.9</v>
          </cell>
          <cell r="AP256">
            <v>5</v>
          </cell>
          <cell r="BG256">
            <v>1</v>
          </cell>
        </row>
        <row r="257">
          <cell r="D257" t="str">
            <v>A21600062</v>
          </cell>
          <cell r="E257" t="str">
            <v>Rozh</v>
          </cell>
          <cell r="F257" t="str">
            <v>Natheer</v>
          </cell>
          <cell r="G257" t="str">
            <v>Mohammed</v>
          </cell>
          <cell r="H257" t="str">
            <v>Male</v>
          </cell>
          <cell r="I257">
            <v>1994</v>
          </cell>
          <cell r="J257" t="str">
            <v>Kurdish</v>
          </cell>
          <cell r="K257" t="str">
            <v>0750 788 0286</v>
          </cell>
          <cell r="L257" t="str">
            <v>0750 450 3669</v>
          </cell>
          <cell r="N257" t="str">
            <v>No</v>
          </cell>
          <cell r="O257" t="str">
            <v>No</v>
          </cell>
          <cell r="P257" t="str">
            <v>Local</v>
          </cell>
          <cell r="Q257" t="str">
            <v>First Year</v>
          </cell>
          <cell r="R257" t="str">
            <v>Regular</v>
          </cell>
          <cell r="T257" t="str">
            <v>Accepted</v>
          </cell>
          <cell r="U257">
            <v>0</v>
          </cell>
          <cell r="V257" t="str">
            <v>Spring</v>
          </cell>
          <cell r="W257" t="str">
            <v>2016</v>
          </cell>
          <cell r="Z257" t="str">
            <v>High School</v>
          </cell>
          <cell r="AA257">
            <v>2015</v>
          </cell>
          <cell r="AB257">
            <v>2</v>
          </cell>
          <cell r="AC257">
            <v>2</v>
          </cell>
          <cell r="AD257" t="str">
            <v>Arts</v>
          </cell>
          <cell r="AE257" t="str">
            <v>Teroj</v>
          </cell>
          <cell r="AF257" t="str">
            <v>Zakho</v>
          </cell>
          <cell r="AG257" t="str">
            <v>Taxe Ashti</v>
          </cell>
          <cell r="AH257">
            <v>56.5</v>
          </cell>
          <cell r="AK257">
            <v>56.5</v>
          </cell>
          <cell r="AL257">
            <v>1</v>
          </cell>
          <cell r="AM257">
            <v>57.5</v>
          </cell>
          <cell r="AP257">
            <v>1</v>
          </cell>
          <cell r="BB257">
            <v>1</v>
          </cell>
        </row>
        <row r="258">
          <cell r="D258" t="str">
            <v>A21600063</v>
          </cell>
          <cell r="E258" t="str">
            <v xml:space="preserve">Saman </v>
          </cell>
          <cell r="F258" t="str">
            <v>Mohammed</v>
          </cell>
          <cell r="G258" t="str">
            <v>Ismail</v>
          </cell>
          <cell r="H258" t="str">
            <v>Male</v>
          </cell>
          <cell r="I258">
            <v>1996</v>
          </cell>
          <cell r="J258" t="str">
            <v>Kurdish</v>
          </cell>
          <cell r="K258" t="str">
            <v>0750 473 7912</v>
          </cell>
          <cell r="N258" t="str">
            <v>No</v>
          </cell>
          <cell r="O258" t="str">
            <v>No</v>
          </cell>
          <cell r="P258" t="str">
            <v>Local</v>
          </cell>
          <cell r="Q258" t="str">
            <v>First Year</v>
          </cell>
          <cell r="R258" t="str">
            <v>Martyr's Aid</v>
          </cell>
          <cell r="T258" t="str">
            <v>Accepted</v>
          </cell>
          <cell r="U258">
            <v>0</v>
          </cell>
          <cell r="V258" t="str">
            <v>Spring</v>
          </cell>
          <cell r="W258" t="str">
            <v>2016</v>
          </cell>
          <cell r="Z258" t="str">
            <v>High School</v>
          </cell>
          <cell r="AA258">
            <v>2015</v>
          </cell>
          <cell r="AE258" t="str">
            <v>Tanahi</v>
          </cell>
          <cell r="AF258" t="str">
            <v>Duhok</v>
          </cell>
          <cell r="AG258" t="str">
            <v>Tanahi</v>
          </cell>
          <cell r="AH258">
            <v>70</v>
          </cell>
          <cell r="AK258">
            <v>70</v>
          </cell>
          <cell r="AM258">
            <v>70</v>
          </cell>
          <cell r="AP258">
            <v>1</v>
          </cell>
          <cell r="BG258">
            <v>1</v>
          </cell>
        </row>
        <row r="259">
          <cell r="D259" t="str">
            <v>A21600064</v>
          </cell>
          <cell r="E259" t="str">
            <v>Chalang</v>
          </cell>
          <cell r="F259" t="str">
            <v>Nabi</v>
          </cell>
          <cell r="G259" t="str">
            <v>Saleem</v>
          </cell>
          <cell r="H259" t="str">
            <v>Male</v>
          </cell>
          <cell r="I259">
            <v>1986</v>
          </cell>
          <cell r="J259" t="str">
            <v>Kurdish</v>
          </cell>
          <cell r="K259" t="str">
            <v>0750 478 0216</v>
          </cell>
          <cell r="N259" t="str">
            <v>No</v>
          </cell>
          <cell r="O259" t="str">
            <v>No</v>
          </cell>
          <cell r="P259" t="str">
            <v>Local</v>
          </cell>
          <cell r="Q259" t="str">
            <v>First Year</v>
          </cell>
          <cell r="R259" t="str">
            <v>Martyr's Aid</v>
          </cell>
          <cell r="S259" t="str">
            <v>Family Discount</v>
          </cell>
          <cell r="T259" t="str">
            <v>Accepted</v>
          </cell>
          <cell r="U259">
            <v>0</v>
          </cell>
          <cell r="V259" t="str">
            <v>Spring</v>
          </cell>
          <cell r="W259" t="str">
            <v>2016</v>
          </cell>
          <cell r="Z259" t="str">
            <v>High School</v>
          </cell>
          <cell r="AA259">
            <v>2015</v>
          </cell>
          <cell r="AB259">
            <v>1</v>
          </cell>
          <cell r="AC259">
            <v>2</v>
          </cell>
          <cell r="AD259" t="str">
            <v>Arts</v>
          </cell>
          <cell r="AE259" t="str">
            <v>Home School</v>
          </cell>
          <cell r="AF259" t="str">
            <v>Duhok</v>
          </cell>
          <cell r="AG259" t="str">
            <v>Mangesh</v>
          </cell>
          <cell r="AH259">
            <v>60.7</v>
          </cell>
          <cell r="AK259">
            <v>60.7</v>
          </cell>
          <cell r="AL259">
            <v>1</v>
          </cell>
          <cell r="AM259">
            <v>61.7</v>
          </cell>
          <cell r="AP259">
            <v>1</v>
          </cell>
          <cell r="BJ259">
            <v>1</v>
          </cell>
        </row>
        <row r="260">
          <cell r="D260" t="str">
            <v>A21600065</v>
          </cell>
          <cell r="E260" t="str">
            <v>Thiyab</v>
          </cell>
          <cell r="F260" t="str">
            <v>Omar</v>
          </cell>
          <cell r="G260" t="str">
            <v>Thiyab</v>
          </cell>
          <cell r="H260" t="str">
            <v>Male</v>
          </cell>
          <cell r="I260">
            <v>1996</v>
          </cell>
          <cell r="K260" t="str">
            <v>0750 899 7791</v>
          </cell>
          <cell r="L260" t="str">
            <v>0750 401 9013</v>
          </cell>
          <cell r="N260" t="str">
            <v>Yes</v>
          </cell>
          <cell r="O260" t="str">
            <v>Yes</v>
          </cell>
          <cell r="P260" t="str">
            <v>Local</v>
          </cell>
          <cell r="Q260" t="str">
            <v>First Year</v>
          </cell>
          <cell r="R260" t="str">
            <v>Martyr's Aid</v>
          </cell>
          <cell r="T260" t="str">
            <v>Accepted</v>
          </cell>
          <cell r="U260" t="str">
            <v>Withdraw</v>
          </cell>
          <cell r="V260" t="str">
            <v>Spring</v>
          </cell>
          <cell r="W260" t="str">
            <v>2016</v>
          </cell>
          <cell r="Z260" t="str">
            <v>High School</v>
          </cell>
          <cell r="AA260">
            <v>2015</v>
          </cell>
          <cell r="AE260" t="str">
            <v>Sarkeesh</v>
          </cell>
          <cell r="AF260" t="str">
            <v>Duhok</v>
          </cell>
          <cell r="AH260">
            <v>79</v>
          </cell>
          <cell r="AK260">
            <v>79</v>
          </cell>
          <cell r="AM260">
            <v>79</v>
          </cell>
          <cell r="AP260">
            <v>1</v>
          </cell>
          <cell r="BB260">
            <v>1</v>
          </cell>
        </row>
        <row r="261">
          <cell r="D261" t="str">
            <v>A21600066</v>
          </cell>
          <cell r="E261" t="str">
            <v>Dilman</v>
          </cell>
          <cell r="F261" t="str">
            <v>M.Ameen</v>
          </cell>
          <cell r="G261" t="str">
            <v>Yousif</v>
          </cell>
          <cell r="H261" t="str">
            <v>Female</v>
          </cell>
          <cell r="I261">
            <v>1991</v>
          </cell>
          <cell r="K261" t="str">
            <v>0750 868 0474</v>
          </cell>
          <cell r="L261" t="str">
            <v>0750 496 3474</v>
          </cell>
          <cell r="N261" t="str">
            <v>Yes</v>
          </cell>
          <cell r="O261" t="str">
            <v>No</v>
          </cell>
          <cell r="P261" t="str">
            <v>Local</v>
          </cell>
          <cell r="Q261" t="str">
            <v>First Year</v>
          </cell>
          <cell r="R261" t="str">
            <v>Martyr's Aid</v>
          </cell>
          <cell r="T261" t="str">
            <v>Accepted</v>
          </cell>
          <cell r="U261" t="str">
            <v>Withdraw</v>
          </cell>
          <cell r="V261" t="str">
            <v>Spring</v>
          </cell>
          <cell r="W261" t="str">
            <v>2016</v>
          </cell>
          <cell r="Z261" t="str">
            <v>High School</v>
          </cell>
          <cell r="AA261">
            <v>2015</v>
          </cell>
          <cell r="AE261" t="str">
            <v>Khamlin</v>
          </cell>
          <cell r="AF261" t="str">
            <v>Duhok</v>
          </cell>
          <cell r="AG261" t="str">
            <v>Kani Mehmetke</v>
          </cell>
          <cell r="AH261">
            <v>56</v>
          </cell>
          <cell r="AK261">
            <v>56</v>
          </cell>
          <cell r="AM261">
            <v>56</v>
          </cell>
          <cell r="AP261">
            <v>1</v>
          </cell>
          <cell r="AZ261">
            <v>1</v>
          </cell>
        </row>
        <row r="262">
          <cell r="D262" t="str">
            <v>A21600067</v>
          </cell>
          <cell r="E262" t="str">
            <v>Sarbast</v>
          </cell>
          <cell r="F262" t="str">
            <v>Fawzi</v>
          </cell>
          <cell r="G262" t="str">
            <v>M.Saleem</v>
          </cell>
          <cell r="H262" t="str">
            <v>Male</v>
          </cell>
          <cell r="I262">
            <v>1995</v>
          </cell>
          <cell r="J262" t="str">
            <v>Kurdish</v>
          </cell>
          <cell r="K262" t="str">
            <v>0750 313 6989</v>
          </cell>
          <cell r="L262" t="str">
            <v>0750 457 0928</v>
          </cell>
          <cell r="N262" t="str">
            <v>Yes</v>
          </cell>
          <cell r="O262" t="str">
            <v>No</v>
          </cell>
          <cell r="P262" t="str">
            <v>Local</v>
          </cell>
          <cell r="Q262" t="str">
            <v>First Year</v>
          </cell>
          <cell r="R262" t="str">
            <v>Regular</v>
          </cell>
          <cell r="T262" t="str">
            <v>Accepted</v>
          </cell>
          <cell r="U262">
            <v>0</v>
          </cell>
          <cell r="V262" t="str">
            <v>Spring</v>
          </cell>
          <cell r="W262" t="str">
            <v>2016</v>
          </cell>
          <cell r="Z262" t="str">
            <v>High School</v>
          </cell>
          <cell r="AA262">
            <v>2015</v>
          </cell>
          <cell r="AB262">
            <v>2</v>
          </cell>
          <cell r="AC262">
            <v>1</v>
          </cell>
          <cell r="AD262" t="str">
            <v>science</v>
          </cell>
          <cell r="AE262" t="str">
            <v>Brayati</v>
          </cell>
          <cell r="AF262" t="str">
            <v>Duhok</v>
          </cell>
          <cell r="AG262" t="str">
            <v>Masike</v>
          </cell>
          <cell r="AH262">
            <v>73.5</v>
          </cell>
          <cell r="AI262">
            <v>65.849999999999994</v>
          </cell>
          <cell r="AJ262">
            <v>68.569999999999993</v>
          </cell>
          <cell r="AK262">
            <v>74</v>
          </cell>
          <cell r="AL262">
            <v>1.7</v>
          </cell>
          <cell r="AM262">
            <v>75.7</v>
          </cell>
          <cell r="AP262">
            <v>1</v>
          </cell>
          <cell r="AS262">
            <v>1</v>
          </cell>
        </row>
        <row r="263">
          <cell r="D263" t="str">
            <v>A21600068</v>
          </cell>
          <cell r="E263" t="str">
            <v>Nechirvan</v>
          </cell>
          <cell r="F263" t="str">
            <v>Hikmat</v>
          </cell>
          <cell r="G263" t="str">
            <v>Mohammed</v>
          </cell>
          <cell r="H263" t="str">
            <v>Male</v>
          </cell>
          <cell r="I263">
            <v>1996</v>
          </cell>
          <cell r="J263" t="str">
            <v>Kurdish</v>
          </cell>
          <cell r="K263" t="str">
            <v>0750 777 8987</v>
          </cell>
          <cell r="L263" t="str">
            <v>0750 446 1053</v>
          </cell>
          <cell r="M263" t="str">
            <v>nechirvangewda@outlook.com</v>
          </cell>
          <cell r="N263" t="str">
            <v>No</v>
          </cell>
          <cell r="O263" t="str">
            <v>No</v>
          </cell>
          <cell r="P263" t="str">
            <v>Local</v>
          </cell>
          <cell r="Q263" t="str">
            <v>First Year</v>
          </cell>
          <cell r="R263" t="str">
            <v>Regular</v>
          </cell>
          <cell r="T263" t="str">
            <v>Accepted</v>
          </cell>
          <cell r="U263">
            <v>0</v>
          </cell>
          <cell r="V263" t="str">
            <v>Spring</v>
          </cell>
          <cell r="W263" t="str">
            <v>2016</v>
          </cell>
          <cell r="Z263" t="str">
            <v>High School</v>
          </cell>
          <cell r="AA263">
            <v>2015</v>
          </cell>
          <cell r="AC263">
            <v>2</v>
          </cell>
          <cell r="AD263" t="str">
            <v>science</v>
          </cell>
          <cell r="AE263" t="str">
            <v>Zakho</v>
          </cell>
          <cell r="AF263" t="str">
            <v>Duhok</v>
          </cell>
          <cell r="AG263" t="str">
            <v>Garamer</v>
          </cell>
          <cell r="AH263">
            <v>60.8</v>
          </cell>
          <cell r="AK263">
            <v>60.8</v>
          </cell>
          <cell r="AL263">
            <v>1</v>
          </cell>
          <cell r="AM263">
            <v>61.8</v>
          </cell>
          <cell r="AP263">
            <v>1</v>
          </cell>
          <cell r="BJ263">
            <v>1</v>
          </cell>
        </row>
        <row r="264">
          <cell r="D264" t="str">
            <v>A21600069</v>
          </cell>
          <cell r="E264" t="str">
            <v>Broosh</v>
          </cell>
          <cell r="F264" t="str">
            <v>Saadoun</v>
          </cell>
          <cell r="G264" t="str">
            <v>Amin</v>
          </cell>
          <cell r="H264" t="str">
            <v>Male</v>
          </cell>
          <cell r="I264">
            <v>1990</v>
          </cell>
          <cell r="J264" t="str">
            <v>Kurdish</v>
          </cell>
          <cell r="K264" t="str">
            <v>0750 415 5522</v>
          </cell>
          <cell r="L264" t="str">
            <v>0750 457 8278</v>
          </cell>
          <cell r="M264" t="str">
            <v>baroj.doski@hotmail.com</v>
          </cell>
          <cell r="N264" t="str">
            <v>No</v>
          </cell>
          <cell r="O264" t="str">
            <v>No</v>
          </cell>
          <cell r="P264" t="str">
            <v>Local</v>
          </cell>
          <cell r="Q264" t="str">
            <v>First Year</v>
          </cell>
          <cell r="R264" t="str">
            <v>Martyr's Aid</v>
          </cell>
          <cell r="T264" t="str">
            <v>Accepted</v>
          </cell>
          <cell r="U264">
            <v>0</v>
          </cell>
          <cell r="V264" t="str">
            <v>Spring</v>
          </cell>
          <cell r="W264" t="str">
            <v>2016</v>
          </cell>
          <cell r="Z264" t="str">
            <v>High School</v>
          </cell>
          <cell r="AA264">
            <v>2015</v>
          </cell>
          <cell r="AE264" t="str">
            <v>Yarmand</v>
          </cell>
          <cell r="AF264" t="str">
            <v>Duhok</v>
          </cell>
          <cell r="AG264" t="str">
            <v>Masike 1</v>
          </cell>
          <cell r="AH264">
            <v>58.5</v>
          </cell>
          <cell r="AK264">
            <v>58.5</v>
          </cell>
          <cell r="AL264">
            <v>1</v>
          </cell>
          <cell r="AM264">
            <v>59.5</v>
          </cell>
          <cell r="AP264">
            <v>1</v>
          </cell>
          <cell r="BB264">
            <v>2</v>
          </cell>
          <cell r="BG264">
            <v>1</v>
          </cell>
        </row>
        <row r="265">
          <cell r="D265" t="str">
            <v>A21600070</v>
          </cell>
          <cell r="E265" t="str">
            <v>Khuzi</v>
          </cell>
          <cell r="F265" t="str">
            <v>Younis</v>
          </cell>
          <cell r="G265" t="str">
            <v>Omar</v>
          </cell>
          <cell r="H265" t="str">
            <v>Female</v>
          </cell>
          <cell r="I265">
            <v>1990</v>
          </cell>
          <cell r="J265" t="str">
            <v>Kurdish</v>
          </cell>
          <cell r="K265" t="str">
            <v>0750 458 2640</v>
          </cell>
          <cell r="L265" t="str">
            <v>0750 4123442</v>
          </cell>
          <cell r="N265" t="str">
            <v>Yes</v>
          </cell>
          <cell r="O265" t="str">
            <v>No</v>
          </cell>
          <cell r="P265" t="str">
            <v>Local</v>
          </cell>
          <cell r="Q265" t="str">
            <v>First Year</v>
          </cell>
          <cell r="R265" t="str">
            <v>Martyr's Aid</v>
          </cell>
          <cell r="T265" t="str">
            <v>Accepted</v>
          </cell>
          <cell r="U265">
            <v>0</v>
          </cell>
          <cell r="V265" t="str">
            <v>Spring</v>
          </cell>
          <cell r="W265" t="str">
            <v>2016</v>
          </cell>
          <cell r="Z265" t="str">
            <v>High School</v>
          </cell>
          <cell r="AA265">
            <v>2015</v>
          </cell>
          <cell r="AB265">
            <v>2</v>
          </cell>
          <cell r="AC265">
            <v>1</v>
          </cell>
          <cell r="AD265" t="str">
            <v>Science</v>
          </cell>
          <cell r="AE265" t="str">
            <v>Bizhare</v>
          </cell>
          <cell r="AF265" t="str">
            <v>Duhok</v>
          </cell>
          <cell r="AG265" t="str">
            <v>K.R.O</v>
          </cell>
          <cell r="AH265">
            <v>75</v>
          </cell>
          <cell r="AK265">
            <v>75</v>
          </cell>
          <cell r="AL265">
            <v>3</v>
          </cell>
          <cell r="AM265">
            <v>78</v>
          </cell>
          <cell r="AP265">
            <v>2</v>
          </cell>
          <cell r="AW265">
            <v>1</v>
          </cell>
        </row>
        <row r="266">
          <cell r="D266" t="str">
            <v>A21600071</v>
          </cell>
          <cell r="E266" t="str">
            <v>Hogir</v>
          </cell>
          <cell r="F266" t="str">
            <v>Hassan</v>
          </cell>
          <cell r="G266" t="str">
            <v>Mohammed</v>
          </cell>
          <cell r="H266" t="str">
            <v>Male</v>
          </cell>
          <cell r="I266">
            <v>1997</v>
          </cell>
          <cell r="J266" t="str">
            <v>Kurdish</v>
          </cell>
          <cell r="K266" t="str">
            <v>0750 762 7722</v>
          </cell>
          <cell r="L266" t="str">
            <v>0750 446 6774</v>
          </cell>
          <cell r="N266" t="str">
            <v>No</v>
          </cell>
          <cell r="O266" t="str">
            <v>No</v>
          </cell>
          <cell r="P266" t="str">
            <v>Local</v>
          </cell>
          <cell r="Q266" t="str">
            <v>First Year</v>
          </cell>
          <cell r="R266" t="str">
            <v>Regular</v>
          </cell>
          <cell r="T266" t="str">
            <v>Accepted</v>
          </cell>
          <cell r="U266">
            <v>0</v>
          </cell>
          <cell r="V266" t="str">
            <v>Spring</v>
          </cell>
          <cell r="W266" t="str">
            <v>2016</v>
          </cell>
          <cell r="Z266" t="str">
            <v>High School</v>
          </cell>
          <cell r="AA266">
            <v>2015</v>
          </cell>
          <cell r="AB266">
            <v>2</v>
          </cell>
          <cell r="AC266">
            <v>2</v>
          </cell>
          <cell r="AD266" t="str">
            <v>Science</v>
          </cell>
          <cell r="AE266" t="str">
            <v>Kawa</v>
          </cell>
          <cell r="AF266" t="str">
            <v>Duhok</v>
          </cell>
          <cell r="AG266" t="str">
            <v>Shindokha</v>
          </cell>
          <cell r="AH266">
            <v>65</v>
          </cell>
          <cell r="AK266">
            <v>65</v>
          </cell>
          <cell r="AL266">
            <v>1</v>
          </cell>
          <cell r="AM266">
            <v>66</v>
          </cell>
          <cell r="AP266">
            <v>1</v>
          </cell>
          <cell r="BG266">
            <v>1</v>
          </cell>
        </row>
        <row r="267">
          <cell r="D267" t="str">
            <v>A21600072</v>
          </cell>
          <cell r="E267" t="str">
            <v>Ahmad</v>
          </cell>
          <cell r="F267" t="str">
            <v>Hishyar</v>
          </cell>
          <cell r="G267" t="str">
            <v>Ali</v>
          </cell>
          <cell r="H267" t="str">
            <v>Male</v>
          </cell>
          <cell r="I267">
            <v>1995</v>
          </cell>
          <cell r="J267" t="str">
            <v>Kurdish</v>
          </cell>
          <cell r="K267" t="str">
            <v>0750 350 8698</v>
          </cell>
          <cell r="L267" t="str">
            <v>0750 450 8698</v>
          </cell>
          <cell r="N267" t="str">
            <v>No</v>
          </cell>
          <cell r="O267" t="str">
            <v>No</v>
          </cell>
          <cell r="P267" t="str">
            <v>Local</v>
          </cell>
          <cell r="Q267" t="str">
            <v>First Year</v>
          </cell>
          <cell r="R267" t="str">
            <v>Regular</v>
          </cell>
          <cell r="T267" t="str">
            <v>Accepted</v>
          </cell>
          <cell r="U267">
            <v>0</v>
          </cell>
          <cell r="V267" t="str">
            <v>Spring</v>
          </cell>
          <cell r="W267" t="str">
            <v>2016</v>
          </cell>
          <cell r="Z267" t="str">
            <v>High School</v>
          </cell>
          <cell r="AA267">
            <v>2015</v>
          </cell>
          <cell r="AB267">
            <v>2</v>
          </cell>
          <cell r="AC267">
            <v>2</v>
          </cell>
          <cell r="AD267" t="str">
            <v>Science</v>
          </cell>
          <cell r="AE267" t="str">
            <v>Zakho</v>
          </cell>
          <cell r="AF267" t="str">
            <v>Zakho</v>
          </cell>
          <cell r="AG267" t="str">
            <v>Ashe Cemi</v>
          </cell>
          <cell r="AH267">
            <v>58.5</v>
          </cell>
          <cell r="AK267">
            <v>58.5</v>
          </cell>
          <cell r="AL267">
            <v>1</v>
          </cell>
          <cell r="AM267">
            <v>59.5</v>
          </cell>
          <cell r="AP267">
            <v>1</v>
          </cell>
          <cell r="AZ267">
            <v>1</v>
          </cell>
        </row>
        <row r="268">
          <cell r="D268" t="str">
            <v>A21600073</v>
          </cell>
          <cell r="E268" t="str">
            <v>Bland</v>
          </cell>
          <cell r="F268" t="str">
            <v>Dilshad</v>
          </cell>
          <cell r="G268" t="str">
            <v>Diwali</v>
          </cell>
          <cell r="H268" t="str">
            <v>Male</v>
          </cell>
          <cell r="I268">
            <v>1996</v>
          </cell>
          <cell r="J268" t="str">
            <v>Kurdish</v>
          </cell>
          <cell r="K268" t="str">
            <v>0750 490 8100</v>
          </cell>
          <cell r="L268" t="str">
            <v>0750 458 8181</v>
          </cell>
          <cell r="M268" t="str">
            <v>bilindbirgine@yahoo.com</v>
          </cell>
          <cell r="N268" t="str">
            <v>No</v>
          </cell>
          <cell r="O268" t="str">
            <v>No</v>
          </cell>
          <cell r="P268" t="str">
            <v>Local</v>
          </cell>
          <cell r="Q268" t="str">
            <v>First Year</v>
          </cell>
          <cell r="R268" t="str">
            <v>Regular</v>
          </cell>
          <cell r="T268" t="str">
            <v>Accepted</v>
          </cell>
          <cell r="U268">
            <v>0</v>
          </cell>
          <cell r="V268" t="str">
            <v>Spring</v>
          </cell>
          <cell r="W268" t="str">
            <v>2016</v>
          </cell>
          <cell r="Z268" t="str">
            <v>High School</v>
          </cell>
          <cell r="AA268">
            <v>2015</v>
          </cell>
          <cell r="AB268">
            <v>2</v>
          </cell>
          <cell r="AC268">
            <v>2</v>
          </cell>
          <cell r="AD268" t="str">
            <v>Science</v>
          </cell>
          <cell r="AE268" t="str">
            <v>Brayati</v>
          </cell>
          <cell r="AF268" t="str">
            <v>Duhok</v>
          </cell>
          <cell r="AG268" t="str">
            <v>Hay-Alaskari</v>
          </cell>
          <cell r="AH268">
            <v>74.8</v>
          </cell>
          <cell r="AK268">
            <v>74.8</v>
          </cell>
          <cell r="AL268">
            <v>1</v>
          </cell>
          <cell r="AM268">
            <v>75.8</v>
          </cell>
          <cell r="AP268">
            <v>1</v>
          </cell>
          <cell r="BG268">
            <v>1</v>
          </cell>
        </row>
        <row r="269">
          <cell r="D269" t="str">
            <v>A21600074</v>
          </cell>
          <cell r="E269" t="str">
            <v>Hevgir</v>
          </cell>
          <cell r="F269" t="str">
            <v>Ihsan</v>
          </cell>
          <cell r="G269" t="str">
            <v>Abdullah</v>
          </cell>
          <cell r="H269" t="str">
            <v>Male</v>
          </cell>
          <cell r="I269">
            <v>1995</v>
          </cell>
          <cell r="J269" t="str">
            <v>Kurdish</v>
          </cell>
          <cell r="K269" t="str">
            <v xml:space="preserve">0750 484 0110 </v>
          </cell>
          <cell r="L269" t="str">
            <v>0770 910 0111</v>
          </cell>
          <cell r="M269" t="str">
            <v>hevger.amedi@yahoo.com</v>
          </cell>
          <cell r="N269" t="str">
            <v>No</v>
          </cell>
          <cell r="O269" t="str">
            <v>No</v>
          </cell>
          <cell r="P269" t="str">
            <v>Local</v>
          </cell>
          <cell r="Q269" t="str">
            <v>First Year</v>
          </cell>
          <cell r="R269" t="str">
            <v>Regular</v>
          </cell>
          <cell r="T269" t="str">
            <v>Accepted</v>
          </cell>
          <cell r="U269">
            <v>0</v>
          </cell>
          <cell r="V269" t="str">
            <v>Spring</v>
          </cell>
          <cell r="W269" t="str">
            <v>2016</v>
          </cell>
          <cell r="Z269" t="str">
            <v>High School</v>
          </cell>
          <cell r="AA269">
            <v>2015</v>
          </cell>
          <cell r="AB269">
            <v>1</v>
          </cell>
          <cell r="AC269">
            <v>2</v>
          </cell>
          <cell r="AD269" t="str">
            <v>Science</v>
          </cell>
          <cell r="AE269" t="str">
            <v>Sadeqbahaadeen</v>
          </cell>
          <cell r="AF269" t="str">
            <v>Duhok</v>
          </cell>
          <cell r="AG269" t="str">
            <v>Mazi</v>
          </cell>
          <cell r="AH269">
            <v>64.8</v>
          </cell>
          <cell r="AK269">
            <v>64.8</v>
          </cell>
          <cell r="AL269">
            <v>1</v>
          </cell>
          <cell r="AM269">
            <v>65.8</v>
          </cell>
          <cell r="AP269">
            <v>2</v>
          </cell>
          <cell r="BI269">
            <v>1</v>
          </cell>
        </row>
        <row r="270">
          <cell r="D270" t="str">
            <v>A21600075</v>
          </cell>
          <cell r="E270" t="str">
            <v>Taha</v>
          </cell>
          <cell r="F270" t="str">
            <v>Haitham</v>
          </cell>
          <cell r="G270" t="str">
            <v>Taha</v>
          </cell>
          <cell r="H270" t="str">
            <v>Male</v>
          </cell>
          <cell r="I270">
            <v>1997</v>
          </cell>
          <cell r="K270" t="str">
            <v>0750 201 3101</v>
          </cell>
          <cell r="L270" t="str">
            <v>0750 735 6057</v>
          </cell>
          <cell r="M270" t="str">
            <v>taha.haithem1996@gmail.com</v>
          </cell>
          <cell r="N270" t="str">
            <v>No</v>
          </cell>
          <cell r="O270" t="str">
            <v>No</v>
          </cell>
          <cell r="P270" t="str">
            <v>Local</v>
          </cell>
          <cell r="Q270" t="str">
            <v>First Year</v>
          </cell>
          <cell r="R270" t="str">
            <v>Regular</v>
          </cell>
          <cell r="T270" t="str">
            <v>Accepted</v>
          </cell>
          <cell r="U270" t="str">
            <v>Withdraw</v>
          </cell>
          <cell r="V270" t="str">
            <v>Spring</v>
          </cell>
          <cell r="W270" t="str">
            <v>2016</v>
          </cell>
          <cell r="Z270" t="str">
            <v>High School</v>
          </cell>
          <cell r="AA270">
            <v>2015</v>
          </cell>
          <cell r="AE270" t="str">
            <v>Taakhi</v>
          </cell>
          <cell r="AF270" t="str">
            <v>Duhok</v>
          </cell>
          <cell r="AG270" t="str">
            <v>Malta</v>
          </cell>
          <cell r="AH270">
            <v>74.5</v>
          </cell>
          <cell r="AI270">
            <v>6.54</v>
          </cell>
          <cell r="AJ270">
            <v>6.24</v>
          </cell>
          <cell r="AK270">
            <v>74.5</v>
          </cell>
          <cell r="AL270">
            <v>3</v>
          </cell>
          <cell r="AM270">
            <v>77.5</v>
          </cell>
          <cell r="AP270">
            <v>0</v>
          </cell>
          <cell r="AQ270">
            <v>1</v>
          </cell>
        </row>
        <row r="271">
          <cell r="D271" t="str">
            <v>A21600076</v>
          </cell>
          <cell r="E271" t="str">
            <v>Omer</v>
          </cell>
          <cell r="F271" t="str">
            <v>Ismael</v>
          </cell>
          <cell r="G271" t="str">
            <v>Ahmed</v>
          </cell>
          <cell r="H271" t="str">
            <v>Male</v>
          </cell>
          <cell r="I271">
            <v>1997</v>
          </cell>
          <cell r="J271" t="str">
            <v>Kurdish</v>
          </cell>
          <cell r="K271" t="str">
            <v>0750 744 7268</v>
          </cell>
          <cell r="L271" t="str">
            <v>0750 445 5350</v>
          </cell>
          <cell r="N271" t="str">
            <v>No</v>
          </cell>
          <cell r="O271" t="str">
            <v>No</v>
          </cell>
          <cell r="P271" t="str">
            <v>Local</v>
          </cell>
          <cell r="Q271" t="str">
            <v>First Year</v>
          </cell>
          <cell r="R271" t="str">
            <v>Regular</v>
          </cell>
          <cell r="T271" t="str">
            <v>Accepted</v>
          </cell>
          <cell r="U271">
            <v>0</v>
          </cell>
          <cell r="V271" t="str">
            <v>Spring</v>
          </cell>
          <cell r="W271" t="str">
            <v>2016</v>
          </cell>
          <cell r="Z271" t="str">
            <v>High School</v>
          </cell>
          <cell r="AA271">
            <v>2015</v>
          </cell>
          <cell r="AB271">
            <v>2</v>
          </cell>
          <cell r="AC271">
            <v>2</v>
          </cell>
          <cell r="AD271" t="str">
            <v>Science</v>
          </cell>
          <cell r="AE271" t="str">
            <v>Kawa</v>
          </cell>
          <cell r="AF271" t="str">
            <v>Duhok</v>
          </cell>
          <cell r="AG271" t="str">
            <v>Mitran</v>
          </cell>
          <cell r="AH271">
            <v>57</v>
          </cell>
          <cell r="AK271">
            <v>57</v>
          </cell>
          <cell r="AL271">
            <v>1</v>
          </cell>
          <cell r="AM271">
            <v>58</v>
          </cell>
          <cell r="AP271">
            <v>1</v>
          </cell>
          <cell r="BG271">
            <v>1</v>
          </cell>
        </row>
        <row r="272">
          <cell r="D272" t="str">
            <v>A21600077</v>
          </cell>
          <cell r="E272" t="str">
            <v>Mohammed</v>
          </cell>
          <cell r="F272" t="str">
            <v>Khder</v>
          </cell>
          <cell r="G272" t="str">
            <v>MohammedAmeen</v>
          </cell>
          <cell r="H272" t="str">
            <v>Male</v>
          </cell>
          <cell r="I272">
            <v>1986</v>
          </cell>
          <cell r="K272" t="str">
            <v>0750 894 1636</v>
          </cell>
          <cell r="P272" t="str">
            <v>Local</v>
          </cell>
          <cell r="Q272" t="str">
            <v>First Year</v>
          </cell>
          <cell r="T272" t="str">
            <v>Pending</v>
          </cell>
          <cell r="U272">
            <v>0</v>
          </cell>
          <cell r="V272" t="str">
            <v>Spring</v>
          </cell>
          <cell r="W272" t="str">
            <v>2016</v>
          </cell>
          <cell r="Z272" t="str">
            <v>High School</v>
          </cell>
          <cell r="AA272">
            <v>2015</v>
          </cell>
          <cell r="AE272" t="str">
            <v>Home School</v>
          </cell>
          <cell r="AF272" t="str">
            <v>Hawler</v>
          </cell>
          <cell r="AK272">
            <v>0</v>
          </cell>
          <cell r="AM272">
            <v>91.7</v>
          </cell>
          <cell r="AP272">
            <v>0</v>
          </cell>
          <cell r="BJ272">
            <v>1</v>
          </cell>
        </row>
        <row r="273">
          <cell r="D273" t="str">
            <v>A21600078</v>
          </cell>
          <cell r="E273" t="str">
            <v>Alind</v>
          </cell>
          <cell r="F273" t="str">
            <v>Sabah</v>
          </cell>
          <cell r="G273" t="str">
            <v>Mohammed</v>
          </cell>
          <cell r="H273" t="str">
            <v>Male</v>
          </cell>
          <cell r="I273">
            <v>1995</v>
          </cell>
          <cell r="J273" t="str">
            <v>Kurdish</v>
          </cell>
          <cell r="K273" t="str">
            <v>0750 345 9097</v>
          </cell>
          <cell r="L273" t="str">
            <v>0750 445 1571</v>
          </cell>
          <cell r="N273" t="str">
            <v>No</v>
          </cell>
          <cell r="O273" t="str">
            <v>No</v>
          </cell>
          <cell r="P273" t="str">
            <v>Local</v>
          </cell>
          <cell r="Q273" t="str">
            <v>First Year</v>
          </cell>
          <cell r="R273" t="str">
            <v>Regular</v>
          </cell>
          <cell r="T273" t="str">
            <v>Accepted</v>
          </cell>
          <cell r="U273">
            <v>0</v>
          </cell>
          <cell r="V273" t="str">
            <v>Spring</v>
          </cell>
          <cell r="W273" t="str">
            <v>2016</v>
          </cell>
          <cell r="Z273" t="str">
            <v>High School</v>
          </cell>
          <cell r="AA273">
            <v>2015</v>
          </cell>
          <cell r="AB273">
            <v>2</v>
          </cell>
          <cell r="AC273">
            <v>2</v>
          </cell>
          <cell r="AD273" t="str">
            <v>Arts</v>
          </cell>
          <cell r="AE273" t="str">
            <v>Peshawa</v>
          </cell>
          <cell r="AF273" t="str">
            <v>Duhok</v>
          </cell>
          <cell r="AG273" t="str">
            <v>Se Girka</v>
          </cell>
          <cell r="AH273">
            <v>62.5</v>
          </cell>
          <cell r="AK273">
            <v>62.5</v>
          </cell>
          <cell r="AL273">
            <v>1</v>
          </cell>
          <cell r="AM273">
            <v>63.5</v>
          </cell>
          <cell r="AP273">
            <v>1</v>
          </cell>
          <cell r="BJ273">
            <v>1</v>
          </cell>
        </row>
        <row r="274">
          <cell r="D274" t="str">
            <v>A21600079</v>
          </cell>
          <cell r="E274" t="str">
            <v xml:space="preserve">Blind </v>
          </cell>
          <cell r="F274" t="str">
            <v>Foad</v>
          </cell>
          <cell r="G274" t="str">
            <v>MohammedSalih</v>
          </cell>
          <cell r="H274" t="str">
            <v>Male</v>
          </cell>
          <cell r="I274">
            <v>1993</v>
          </cell>
          <cell r="K274" t="str">
            <v>0750 493 8453</v>
          </cell>
          <cell r="N274" t="str">
            <v>No</v>
          </cell>
          <cell r="O274" t="str">
            <v>No</v>
          </cell>
          <cell r="P274" t="str">
            <v>Local</v>
          </cell>
          <cell r="Q274" t="str">
            <v>First Year</v>
          </cell>
          <cell r="R274" t="str">
            <v>Martyr's Aid</v>
          </cell>
          <cell r="T274" t="str">
            <v>Accepted</v>
          </cell>
          <cell r="U274">
            <v>0</v>
          </cell>
          <cell r="V274" t="str">
            <v>Spring</v>
          </cell>
          <cell r="W274" t="str">
            <v>2016</v>
          </cell>
          <cell r="Z274" t="str">
            <v>High School</v>
          </cell>
          <cell r="AA274">
            <v>2015</v>
          </cell>
          <cell r="AE274" t="str">
            <v>Merina</v>
          </cell>
          <cell r="AF274" t="str">
            <v>Duhok</v>
          </cell>
          <cell r="AG274" t="str">
            <v>Sumel</v>
          </cell>
          <cell r="AH274">
            <v>67.400000000000006</v>
          </cell>
          <cell r="AK274">
            <v>67.400000000000006</v>
          </cell>
          <cell r="AL274">
            <v>1</v>
          </cell>
          <cell r="AM274">
            <v>68.400000000000006</v>
          </cell>
          <cell r="AP274">
            <v>1</v>
          </cell>
          <cell r="BG274">
            <v>1</v>
          </cell>
        </row>
        <row r="275">
          <cell r="D275" t="str">
            <v>A21600080</v>
          </cell>
          <cell r="E275" t="str">
            <v>Dezheen</v>
          </cell>
          <cell r="F275" t="str">
            <v>Foad</v>
          </cell>
          <cell r="G275" t="str">
            <v>MohammedSalih</v>
          </cell>
          <cell r="H275" t="str">
            <v>Female</v>
          </cell>
          <cell r="I275">
            <v>1996</v>
          </cell>
          <cell r="J275" t="str">
            <v>Kurdish</v>
          </cell>
          <cell r="K275" t="str">
            <v>0750 541 3271</v>
          </cell>
          <cell r="L275" t="str">
            <v>0750 396 8249</v>
          </cell>
          <cell r="N275" t="str">
            <v>No</v>
          </cell>
          <cell r="O275" t="str">
            <v>No</v>
          </cell>
          <cell r="P275" t="str">
            <v>Local</v>
          </cell>
          <cell r="Q275" t="str">
            <v>First Year</v>
          </cell>
          <cell r="R275" t="str">
            <v>Martyr's Aid</v>
          </cell>
          <cell r="S275" t="str">
            <v>Family Discount</v>
          </cell>
          <cell r="T275" t="str">
            <v>Accepted</v>
          </cell>
          <cell r="U275">
            <v>0</v>
          </cell>
          <cell r="V275" t="str">
            <v>Spring</v>
          </cell>
          <cell r="W275" t="str">
            <v>2016</v>
          </cell>
          <cell r="Z275" t="str">
            <v>High School</v>
          </cell>
          <cell r="AA275">
            <v>2015</v>
          </cell>
          <cell r="AB275">
            <v>2</v>
          </cell>
          <cell r="AC275">
            <v>2</v>
          </cell>
          <cell r="AD275" t="str">
            <v>Arts</v>
          </cell>
          <cell r="AE275" t="str">
            <v>Merina</v>
          </cell>
          <cell r="AF275" t="str">
            <v>Duhok</v>
          </cell>
          <cell r="AG275" t="str">
            <v>Sumel</v>
          </cell>
          <cell r="AH275">
            <v>64.8</v>
          </cell>
          <cell r="AK275">
            <v>64.8</v>
          </cell>
          <cell r="AL275">
            <v>1</v>
          </cell>
          <cell r="AM275">
            <v>65.8</v>
          </cell>
          <cell r="AP275">
            <v>1</v>
          </cell>
          <cell r="AW275">
            <v>1</v>
          </cell>
          <cell r="BG275">
            <v>2</v>
          </cell>
        </row>
        <row r="276">
          <cell r="D276" t="str">
            <v>A21600081</v>
          </cell>
          <cell r="E276" t="str">
            <v>Parwar</v>
          </cell>
          <cell r="F276" t="str">
            <v>Fareeq</v>
          </cell>
          <cell r="G276" t="str">
            <v>Farooq</v>
          </cell>
          <cell r="H276" t="str">
            <v>Female</v>
          </cell>
          <cell r="K276" t="str">
            <v>0750 811 7557</v>
          </cell>
          <cell r="L276" t="str">
            <v>0750 446 0630</v>
          </cell>
          <cell r="N276" t="str">
            <v>No</v>
          </cell>
          <cell r="O276" t="str">
            <v>No</v>
          </cell>
          <cell r="P276" t="str">
            <v>Local</v>
          </cell>
          <cell r="Q276" t="str">
            <v>First Year</v>
          </cell>
          <cell r="T276" t="str">
            <v>Pending</v>
          </cell>
          <cell r="V276" t="str">
            <v>Spring</v>
          </cell>
          <cell r="W276" t="str">
            <v>2016</v>
          </cell>
          <cell r="Z276" t="str">
            <v>High School</v>
          </cell>
          <cell r="AA276">
            <v>2015</v>
          </cell>
          <cell r="AE276" t="str">
            <v>Kawa</v>
          </cell>
          <cell r="AF276" t="str">
            <v>Duhok</v>
          </cell>
          <cell r="AG276" t="str">
            <v>Grebase</v>
          </cell>
          <cell r="AH276">
            <v>68.5</v>
          </cell>
          <cell r="AI276">
            <v>63.27</v>
          </cell>
          <cell r="AJ276">
            <v>57.36</v>
          </cell>
          <cell r="AK276">
            <v>68.5</v>
          </cell>
          <cell r="AL276">
            <v>1</v>
          </cell>
          <cell r="AM276">
            <v>69.5</v>
          </cell>
          <cell r="AP276">
            <v>1</v>
          </cell>
          <cell r="AR276" t="str">
            <v>1</v>
          </cell>
          <cell r="BB276">
            <v>2</v>
          </cell>
        </row>
        <row r="277">
          <cell r="D277" t="str">
            <v>A21600082</v>
          </cell>
          <cell r="E277" t="str">
            <v>Hendreen</v>
          </cell>
          <cell r="F277" t="str">
            <v>Omar</v>
          </cell>
          <cell r="G277" t="str">
            <v>Yaseen</v>
          </cell>
          <cell r="H277" t="str">
            <v>Female</v>
          </cell>
          <cell r="I277">
            <v>1993</v>
          </cell>
          <cell r="J277" t="str">
            <v>Kurdish</v>
          </cell>
          <cell r="K277" t="str">
            <v>0750 703 5056</v>
          </cell>
          <cell r="L277" t="str">
            <v>0750 469 7966</v>
          </cell>
          <cell r="N277" t="str">
            <v>No</v>
          </cell>
          <cell r="O277" t="str">
            <v>No</v>
          </cell>
          <cell r="P277" t="str">
            <v>Local</v>
          </cell>
          <cell r="Q277" t="str">
            <v>First Year</v>
          </cell>
          <cell r="R277" t="str">
            <v>Martyr's Aid</v>
          </cell>
          <cell r="T277" t="str">
            <v>Accepted</v>
          </cell>
          <cell r="U277">
            <v>0</v>
          </cell>
          <cell r="V277" t="str">
            <v>Spring</v>
          </cell>
          <cell r="W277" t="str">
            <v>2016</v>
          </cell>
          <cell r="Z277" t="str">
            <v>High School</v>
          </cell>
          <cell r="AA277">
            <v>2013</v>
          </cell>
          <cell r="AB277">
            <v>2</v>
          </cell>
          <cell r="AC277">
            <v>2</v>
          </cell>
          <cell r="AD277" t="str">
            <v>Arts</v>
          </cell>
          <cell r="AE277" t="str">
            <v>Sarokani</v>
          </cell>
          <cell r="AF277" t="str">
            <v>Duhok</v>
          </cell>
          <cell r="AG277" t="str">
            <v>Mquble</v>
          </cell>
          <cell r="AH277">
            <v>61</v>
          </cell>
          <cell r="AK277">
            <v>61</v>
          </cell>
          <cell r="AM277">
            <v>61</v>
          </cell>
          <cell r="AP277">
            <v>1</v>
          </cell>
          <cell r="AZ277">
            <v>3</v>
          </cell>
          <cell r="BD277">
            <v>2</v>
          </cell>
          <cell r="BJ277">
            <v>1</v>
          </cell>
        </row>
        <row r="278">
          <cell r="D278" t="str">
            <v>A21600083</v>
          </cell>
          <cell r="E278" t="str">
            <v>Halah</v>
          </cell>
          <cell r="F278" t="str">
            <v>Abdulhameed</v>
          </cell>
          <cell r="G278" t="str">
            <v>Ali</v>
          </cell>
          <cell r="H278" t="str">
            <v>Female</v>
          </cell>
          <cell r="I278">
            <v>1996</v>
          </cell>
          <cell r="J278" t="str">
            <v>Arab</v>
          </cell>
          <cell r="K278" t="str">
            <v>0750 414 6571</v>
          </cell>
          <cell r="N278" t="str">
            <v>No</v>
          </cell>
          <cell r="O278" t="str">
            <v>No</v>
          </cell>
          <cell r="P278" t="str">
            <v>Local</v>
          </cell>
          <cell r="Q278" t="str">
            <v>First Year</v>
          </cell>
          <cell r="R278" t="str">
            <v>Regular</v>
          </cell>
          <cell r="T278" t="str">
            <v>Accepted</v>
          </cell>
          <cell r="U278">
            <v>0</v>
          </cell>
          <cell r="V278" t="str">
            <v>Spring</v>
          </cell>
          <cell r="W278" t="str">
            <v>2016</v>
          </cell>
          <cell r="Z278" t="str">
            <v>High School</v>
          </cell>
          <cell r="AA278">
            <v>2014</v>
          </cell>
          <cell r="AE278" t="str">
            <v>Rangeen</v>
          </cell>
          <cell r="AF278" t="str">
            <v>Zakho</v>
          </cell>
          <cell r="AH278">
            <v>64.5</v>
          </cell>
          <cell r="AK278">
            <v>64.5</v>
          </cell>
          <cell r="AM278">
            <v>64.5</v>
          </cell>
          <cell r="AP278">
            <v>4</v>
          </cell>
          <cell r="BG278">
            <v>1</v>
          </cell>
        </row>
        <row r="279">
          <cell r="D279" t="str">
            <v>A21600084</v>
          </cell>
          <cell r="E279" t="str">
            <v>Honer</v>
          </cell>
          <cell r="F279" t="str">
            <v xml:space="preserve">Ismat </v>
          </cell>
          <cell r="G279" t="str">
            <v xml:space="preserve">Iqbal </v>
          </cell>
          <cell r="H279" t="str">
            <v>Male</v>
          </cell>
          <cell r="I279">
            <v>1998</v>
          </cell>
          <cell r="J279" t="str">
            <v>Kurdish</v>
          </cell>
          <cell r="K279" t="str">
            <v>0750 341 9669</v>
          </cell>
          <cell r="L279" t="str">
            <v>0750 794 7479</v>
          </cell>
          <cell r="N279" t="str">
            <v>No</v>
          </cell>
          <cell r="O279" t="str">
            <v>No</v>
          </cell>
          <cell r="P279" t="str">
            <v>Local</v>
          </cell>
          <cell r="Q279" t="str">
            <v>First Year</v>
          </cell>
          <cell r="R279" t="str">
            <v>Political Prisoner</v>
          </cell>
          <cell r="T279" t="str">
            <v>Accepted</v>
          </cell>
          <cell r="U279">
            <v>0</v>
          </cell>
          <cell r="V279" t="str">
            <v>Spring</v>
          </cell>
          <cell r="W279" t="str">
            <v>2016</v>
          </cell>
          <cell r="Z279" t="str">
            <v>High School</v>
          </cell>
          <cell r="AA279">
            <v>2015</v>
          </cell>
          <cell r="AC279">
            <v>2</v>
          </cell>
          <cell r="AD279" t="str">
            <v>science</v>
          </cell>
          <cell r="AE279" t="str">
            <v>Brayati</v>
          </cell>
          <cell r="AF279" t="str">
            <v>Duhok</v>
          </cell>
          <cell r="AG279" t="str">
            <v>Tanahi</v>
          </cell>
          <cell r="AH279">
            <v>57.7</v>
          </cell>
          <cell r="AK279">
            <v>57.7</v>
          </cell>
          <cell r="AL279">
            <v>1</v>
          </cell>
          <cell r="AM279">
            <v>58.7</v>
          </cell>
          <cell r="AP279">
            <v>1</v>
          </cell>
          <cell r="AZ279">
            <v>1</v>
          </cell>
          <cell r="BA279">
            <v>2</v>
          </cell>
        </row>
        <row r="280">
          <cell r="D280" t="str">
            <v>A21600085</v>
          </cell>
          <cell r="E280" t="str">
            <v>Araz</v>
          </cell>
          <cell r="F280" t="str">
            <v>Nabi</v>
          </cell>
          <cell r="G280" t="str">
            <v>Saleem</v>
          </cell>
          <cell r="H280" t="str">
            <v>Male</v>
          </cell>
          <cell r="I280">
            <v>1977</v>
          </cell>
          <cell r="K280" t="str">
            <v>0750 454 4735</v>
          </cell>
          <cell r="L280" t="str">
            <v>0750 478 0216</v>
          </cell>
          <cell r="N280" t="str">
            <v>No</v>
          </cell>
          <cell r="O280" t="str">
            <v>No</v>
          </cell>
          <cell r="P280" t="str">
            <v>Local</v>
          </cell>
          <cell r="Q280" t="str">
            <v>First Year</v>
          </cell>
          <cell r="R280" t="str">
            <v>Martyr's Aid</v>
          </cell>
          <cell r="T280" t="str">
            <v>Accepted</v>
          </cell>
          <cell r="U280">
            <v>0</v>
          </cell>
          <cell r="V280" t="str">
            <v>Spring</v>
          </cell>
          <cell r="W280" t="str">
            <v>2016</v>
          </cell>
          <cell r="Z280" t="str">
            <v>High School</v>
          </cell>
          <cell r="AA280">
            <v>1998</v>
          </cell>
          <cell r="AE280" t="str">
            <v>Duhok</v>
          </cell>
          <cell r="AF280" t="str">
            <v>Duhok</v>
          </cell>
          <cell r="AG280" t="str">
            <v>Mangesh</v>
          </cell>
          <cell r="AH280">
            <v>57.7</v>
          </cell>
          <cell r="AK280">
            <v>57.7</v>
          </cell>
          <cell r="AM280">
            <v>57.7</v>
          </cell>
          <cell r="AP280">
            <v>3</v>
          </cell>
          <cell r="BG280">
            <v>1</v>
          </cell>
        </row>
        <row r="281">
          <cell r="D281" t="str">
            <v>A21600086</v>
          </cell>
          <cell r="E281" t="str">
            <v>Ayaz</v>
          </cell>
          <cell r="F281" t="str">
            <v>Salah</v>
          </cell>
          <cell r="G281" t="str">
            <v>Khalil</v>
          </cell>
          <cell r="H281" t="str">
            <v>Male</v>
          </cell>
          <cell r="I281">
            <v>1997</v>
          </cell>
          <cell r="J281" t="str">
            <v>Kurdish</v>
          </cell>
          <cell r="K281" t="str">
            <v>0750 793 8468</v>
          </cell>
          <cell r="L281" t="str">
            <v>0750 734 3820</v>
          </cell>
          <cell r="N281" t="str">
            <v>No</v>
          </cell>
          <cell r="O281" t="str">
            <v>No</v>
          </cell>
          <cell r="P281" t="str">
            <v>Local</v>
          </cell>
          <cell r="Q281" t="str">
            <v>First Year</v>
          </cell>
          <cell r="R281" t="str">
            <v>Martyr's Aid</v>
          </cell>
          <cell r="T281" t="str">
            <v>Accepted</v>
          </cell>
          <cell r="U281">
            <v>0</v>
          </cell>
          <cell r="V281" t="str">
            <v>Spring</v>
          </cell>
          <cell r="W281" t="str">
            <v>2016</v>
          </cell>
          <cell r="Z281" t="str">
            <v>High School</v>
          </cell>
          <cell r="AA281">
            <v>2015</v>
          </cell>
          <cell r="AB281">
            <v>2</v>
          </cell>
          <cell r="AC281">
            <v>2</v>
          </cell>
          <cell r="AD281" t="str">
            <v>Arts</v>
          </cell>
          <cell r="AE281" t="str">
            <v>Sheladez</v>
          </cell>
          <cell r="AF281" t="str">
            <v>Duhok</v>
          </cell>
          <cell r="AG281" t="str">
            <v>Sheladez</v>
          </cell>
          <cell r="AH281">
            <v>77</v>
          </cell>
          <cell r="AK281">
            <v>77</v>
          </cell>
          <cell r="AL281">
            <v>1</v>
          </cell>
          <cell r="AM281">
            <v>78</v>
          </cell>
          <cell r="AP281">
            <v>1</v>
          </cell>
          <cell r="BG281">
            <v>1</v>
          </cell>
        </row>
        <row r="282">
          <cell r="D282" t="str">
            <v>A21600087</v>
          </cell>
          <cell r="E282" t="str">
            <v>Aya</v>
          </cell>
          <cell r="F282" t="str">
            <v>Radhwan</v>
          </cell>
          <cell r="G282" t="str">
            <v>Hazim</v>
          </cell>
          <cell r="H282" t="str">
            <v>Female</v>
          </cell>
          <cell r="I282">
            <v>1996</v>
          </cell>
          <cell r="J282" t="str">
            <v>Arab</v>
          </cell>
          <cell r="K282" t="str">
            <v>0750 812 9339</v>
          </cell>
          <cell r="L282" t="str">
            <v>0750 814 7205</v>
          </cell>
          <cell r="N282" t="str">
            <v>Yes</v>
          </cell>
          <cell r="O282" t="str">
            <v>No</v>
          </cell>
          <cell r="P282" t="str">
            <v>Local</v>
          </cell>
          <cell r="Q282" t="str">
            <v>First Year</v>
          </cell>
          <cell r="R282" t="str">
            <v>Regular</v>
          </cell>
          <cell r="T282" t="str">
            <v>Conditional</v>
          </cell>
          <cell r="U282">
            <v>0</v>
          </cell>
          <cell r="V282" t="str">
            <v>Spring</v>
          </cell>
          <cell r="W282" t="str">
            <v>2016</v>
          </cell>
          <cell r="Z282" t="str">
            <v>High School</v>
          </cell>
          <cell r="AA282">
            <v>2014</v>
          </cell>
          <cell r="AB282">
            <v>1</v>
          </cell>
          <cell r="AC282">
            <v>2</v>
          </cell>
          <cell r="AD282" t="str">
            <v>Science</v>
          </cell>
          <cell r="AE282" t="str">
            <v>Om Al Rabeen</v>
          </cell>
          <cell r="AF282" t="str">
            <v>Duhok</v>
          </cell>
          <cell r="AG282" t="str">
            <v>Avro City</v>
          </cell>
          <cell r="AH282">
            <v>80</v>
          </cell>
          <cell r="AK282">
            <v>80</v>
          </cell>
          <cell r="AM282">
            <v>80</v>
          </cell>
          <cell r="AP282">
            <v>3</v>
          </cell>
          <cell r="AS282">
            <v>2</v>
          </cell>
          <cell r="AW282">
            <v>1</v>
          </cell>
        </row>
        <row r="283">
          <cell r="D283" t="str">
            <v>A21600088</v>
          </cell>
          <cell r="E283" t="str">
            <v>Gwan</v>
          </cell>
          <cell r="F283" t="str">
            <v>Mohammed</v>
          </cell>
          <cell r="G283" t="str">
            <v>Yousuf</v>
          </cell>
          <cell r="H283" t="str">
            <v>Female</v>
          </cell>
          <cell r="I283">
            <v>1997</v>
          </cell>
          <cell r="J283" t="str">
            <v>Kurdish</v>
          </cell>
          <cell r="K283" t="str">
            <v>0750 705 9541</v>
          </cell>
          <cell r="L283" t="str">
            <v>0750 450 1628</v>
          </cell>
          <cell r="N283" t="str">
            <v>No</v>
          </cell>
          <cell r="O283" t="str">
            <v>No</v>
          </cell>
          <cell r="P283" t="str">
            <v>Local</v>
          </cell>
          <cell r="Q283" t="str">
            <v>First Year</v>
          </cell>
          <cell r="R283" t="str">
            <v>Political Prisoner</v>
          </cell>
          <cell r="T283" t="str">
            <v>Accepted</v>
          </cell>
          <cell r="U283">
            <v>0</v>
          </cell>
          <cell r="V283" t="str">
            <v>Spring</v>
          </cell>
          <cell r="W283" t="str">
            <v>2016</v>
          </cell>
          <cell r="Z283" t="str">
            <v>High School</v>
          </cell>
          <cell r="AA283">
            <v>2015</v>
          </cell>
          <cell r="AB283">
            <v>1</v>
          </cell>
          <cell r="AC283">
            <v>1</v>
          </cell>
          <cell r="AD283" t="str">
            <v>Science</v>
          </cell>
          <cell r="AE283" t="str">
            <v>Safin</v>
          </cell>
          <cell r="AF283" t="str">
            <v>Duhok</v>
          </cell>
          <cell r="AG283" t="str">
            <v>Taxe Midya</v>
          </cell>
          <cell r="AH283">
            <v>79</v>
          </cell>
          <cell r="AK283">
            <v>79</v>
          </cell>
          <cell r="AL283">
            <v>3</v>
          </cell>
          <cell r="AM283">
            <v>82</v>
          </cell>
          <cell r="AP283">
            <v>5</v>
          </cell>
          <cell r="AW283">
            <v>1</v>
          </cell>
        </row>
        <row r="284">
          <cell r="D284" t="str">
            <v>A21600089</v>
          </cell>
          <cell r="E284" t="str">
            <v>Sarmad</v>
          </cell>
          <cell r="F284" t="str">
            <v>Abdulsalam</v>
          </cell>
          <cell r="G284" t="str">
            <v>Ali</v>
          </cell>
          <cell r="H284" t="str">
            <v>Male</v>
          </cell>
          <cell r="I284">
            <v>1991</v>
          </cell>
          <cell r="J284" t="str">
            <v>Kurdish</v>
          </cell>
          <cell r="K284" t="str">
            <v>0750 418 7723</v>
          </cell>
          <cell r="L284" t="str">
            <v>0750 033 2313</v>
          </cell>
          <cell r="N284" t="str">
            <v>No</v>
          </cell>
          <cell r="O284" t="str">
            <v>No</v>
          </cell>
          <cell r="P284" t="str">
            <v>Local</v>
          </cell>
          <cell r="Q284" t="str">
            <v>First Year</v>
          </cell>
          <cell r="R284" t="str">
            <v>Martyr's Aid</v>
          </cell>
          <cell r="T284" t="str">
            <v>Accepted</v>
          </cell>
          <cell r="U284">
            <v>0</v>
          </cell>
          <cell r="V284" t="str">
            <v>Spring</v>
          </cell>
          <cell r="W284" t="str">
            <v>2016</v>
          </cell>
          <cell r="Z284" t="str">
            <v>High School</v>
          </cell>
          <cell r="AA284">
            <v>2015</v>
          </cell>
          <cell r="AC284">
            <v>1</v>
          </cell>
          <cell r="AD284" t="str">
            <v>science</v>
          </cell>
          <cell r="AE284" t="str">
            <v>Duhok</v>
          </cell>
          <cell r="AF284" t="str">
            <v>Duhok</v>
          </cell>
          <cell r="AG284" t="str">
            <v xml:space="preserve">Nizarke </v>
          </cell>
          <cell r="AH284">
            <v>70.8</v>
          </cell>
          <cell r="AI284">
            <v>61.86</v>
          </cell>
          <cell r="AJ284">
            <v>57.72</v>
          </cell>
          <cell r="AK284">
            <v>70.8</v>
          </cell>
          <cell r="AL284">
            <v>3</v>
          </cell>
          <cell r="AM284">
            <v>73.8</v>
          </cell>
          <cell r="AP284">
            <v>1</v>
          </cell>
          <cell r="BJ284">
            <v>1</v>
          </cell>
        </row>
        <row r="285">
          <cell r="D285" t="str">
            <v>A21600090</v>
          </cell>
          <cell r="E285" t="str">
            <v xml:space="preserve">Randa </v>
          </cell>
          <cell r="F285" t="str">
            <v>Rostam</v>
          </cell>
          <cell r="G285" t="str">
            <v>Shamoon</v>
          </cell>
          <cell r="H285" t="str">
            <v>Female</v>
          </cell>
          <cell r="I285">
            <v>1997</v>
          </cell>
          <cell r="K285" t="str">
            <v>0751 549 5950</v>
          </cell>
          <cell r="L285" t="str">
            <v>0750 160 6237</v>
          </cell>
          <cell r="N285" t="str">
            <v>No</v>
          </cell>
          <cell r="O285" t="str">
            <v>Yes</v>
          </cell>
          <cell r="P285" t="str">
            <v>Local</v>
          </cell>
          <cell r="Q285" t="str">
            <v>First Year</v>
          </cell>
          <cell r="R285" t="str">
            <v>Regular</v>
          </cell>
          <cell r="T285" t="str">
            <v>Accepted</v>
          </cell>
          <cell r="U285" t="str">
            <v>Withdraw</v>
          </cell>
          <cell r="V285" t="str">
            <v>Spring</v>
          </cell>
          <cell r="W285" t="str">
            <v>2016</v>
          </cell>
          <cell r="Z285" t="str">
            <v>High School</v>
          </cell>
          <cell r="AA285">
            <v>2015</v>
          </cell>
          <cell r="AE285" t="str">
            <v>Al Qosh</v>
          </cell>
          <cell r="AF285" t="str">
            <v>Duhok</v>
          </cell>
          <cell r="AG285" t="str">
            <v>Al Qosh</v>
          </cell>
          <cell r="AH285">
            <v>63.4</v>
          </cell>
          <cell r="AK285">
            <v>74</v>
          </cell>
          <cell r="AM285">
            <v>74</v>
          </cell>
          <cell r="AP285">
            <v>2</v>
          </cell>
          <cell r="AQ285">
            <v>1</v>
          </cell>
        </row>
        <row r="286">
          <cell r="D286" t="str">
            <v>A21600091</v>
          </cell>
          <cell r="E286" t="str">
            <v>Hiwa</v>
          </cell>
          <cell r="F286" t="str">
            <v>Haji</v>
          </cell>
          <cell r="G286" t="str">
            <v>Ibrahim</v>
          </cell>
          <cell r="H286" t="str">
            <v>Male</v>
          </cell>
          <cell r="I286">
            <v>1994</v>
          </cell>
          <cell r="K286" t="str">
            <v>0750 792 7021</v>
          </cell>
          <cell r="L286" t="str">
            <v>066 445 6086</v>
          </cell>
          <cell r="N286" t="str">
            <v>No</v>
          </cell>
          <cell r="O286" t="str">
            <v>No</v>
          </cell>
          <cell r="P286" t="str">
            <v>Local</v>
          </cell>
          <cell r="Q286" t="str">
            <v>First Year</v>
          </cell>
          <cell r="R286" t="str">
            <v>Martyr's Aid</v>
          </cell>
          <cell r="T286" t="str">
            <v>Accepted</v>
          </cell>
          <cell r="U286">
            <v>0</v>
          </cell>
          <cell r="V286" t="str">
            <v>Spring</v>
          </cell>
          <cell r="W286" t="str">
            <v>2016</v>
          </cell>
          <cell r="Z286" t="str">
            <v>High School</v>
          </cell>
          <cell r="AA286">
            <v>2015</v>
          </cell>
          <cell r="AE286" t="str">
            <v>Yarmand</v>
          </cell>
          <cell r="AF286" t="str">
            <v>Duhok</v>
          </cell>
          <cell r="AG286" t="str">
            <v>Shaxke</v>
          </cell>
          <cell r="AH286">
            <v>58</v>
          </cell>
          <cell r="AK286">
            <v>58</v>
          </cell>
          <cell r="AL286">
            <v>1</v>
          </cell>
          <cell r="AM286">
            <v>59</v>
          </cell>
          <cell r="AP286">
            <v>3</v>
          </cell>
          <cell r="BB286">
            <v>1</v>
          </cell>
        </row>
        <row r="287">
          <cell r="D287" t="str">
            <v>A21600092</v>
          </cell>
          <cell r="E287" t="str">
            <v>Zhiyar</v>
          </cell>
          <cell r="F287" t="str">
            <v>Ali</v>
          </cell>
          <cell r="G287" t="str">
            <v>Badagh</v>
          </cell>
          <cell r="H287" t="str">
            <v>Male</v>
          </cell>
          <cell r="I287">
            <v>1993</v>
          </cell>
          <cell r="K287" t="str">
            <v>0750 211 9192</v>
          </cell>
          <cell r="L287" t="str">
            <v>0750 431 5590</v>
          </cell>
          <cell r="N287" t="str">
            <v>No</v>
          </cell>
          <cell r="O287" t="str">
            <v>No</v>
          </cell>
          <cell r="P287" t="str">
            <v>Local</v>
          </cell>
          <cell r="Q287" t="str">
            <v>First Year</v>
          </cell>
          <cell r="R287" t="str">
            <v>Martyr's Aid</v>
          </cell>
          <cell r="T287" t="str">
            <v>Accepted</v>
          </cell>
          <cell r="U287" t="str">
            <v>Withdraw</v>
          </cell>
          <cell r="V287" t="str">
            <v>Spring</v>
          </cell>
          <cell r="W287" t="str">
            <v>2016</v>
          </cell>
          <cell r="Z287" t="str">
            <v>High School</v>
          </cell>
          <cell r="AA287">
            <v>2015</v>
          </cell>
          <cell r="AE287" t="str">
            <v>Sadiq Bahadeen</v>
          </cell>
          <cell r="AF287" t="str">
            <v>Duhok</v>
          </cell>
          <cell r="AG287" t="str">
            <v>Zeri Land</v>
          </cell>
          <cell r="AH287">
            <v>56.8</v>
          </cell>
          <cell r="AK287">
            <v>56.8</v>
          </cell>
          <cell r="AL287">
            <v>3</v>
          </cell>
          <cell r="AM287">
            <v>59.8</v>
          </cell>
          <cell r="AP287">
            <v>1</v>
          </cell>
          <cell r="BB287">
            <v>1</v>
          </cell>
        </row>
        <row r="288">
          <cell r="D288" t="str">
            <v>A21600093</v>
          </cell>
          <cell r="E288" t="str">
            <v>Abdur</v>
          </cell>
          <cell r="F288" t="str">
            <v>Sabah</v>
          </cell>
          <cell r="G288" t="str">
            <v>Saeed</v>
          </cell>
          <cell r="H288" t="str">
            <v>Male</v>
          </cell>
          <cell r="I288">
            <v>1987</v>
          </cell>
          <cell r="K288" t="str">
            <v>0750 435 5958</v>
          </cell>
          <cell r="L288" t="str">
            <v>0750 473 5520</v>
          </cell>
          <cell r="N288" t="str">
            <v>No</v>
          </cell>
          <cell r="O288" t="str">
            <v>No</v>
          </cell>
          <cell r="P288" t="str">
            <v>Local</v>
          </cell>
          <cell r="Q288" t="str">
            <v>First Year</v>
          </cell>
          <cell r="R288" t="str">
            <v>Martyr's Aid</v>
          </cell>
          <cell r="T288" t="str">
            <v>Accepted</v>
          </cell>
          <cell r="U288" t="str">
            <v>Withdraw</v>
          </cell>
          <cell r="V288" t="str">
            <v>Spring</v>
          </cell>
          <cell r="W288" t="str">
            <v>2016</v>
          </cell>
          <cell r="Z288" t="str">
            <v>High School</v>
          </cell>
          <cell r="AA288">
            <v>2015</v>
          </cell>
          <cell r="AE288" t="str">
            <v>Semel</v>
          </cell>
          <cell r="AF288" t="str">
            <v>Duhok</v>
          </cell>
          <cell r="AG288" t="str">
            <v>Zozan</v>
          </cell>
          <cell r="AH288">
            <v>53.4</v>
          </cell>
          <cell r="AI288">
            <v>67.63</v>
          </cell>
          <cell r="AJ288">
            <v>59.2</v>
          </cell>
          <cell r="AK288">
            <v>55.402999999999999</v>
          </cell>
          <cell r="AL288">
            <v>1</v>
          </cell>
          <cell r="AM288">
            <v>56.402999999999999</v>
          </cell>
          <cell r="AP288">
            <v>1</v>
          </cell>
          <cell r="BG288">
            <v>1</v>
          </cell>
        </row>
        <row r="289">
          <cell r="D289" t="str">
            <v>A21600094</v>
          </cell>
          <cell r="E289" t="str">
            <v>Jagger</v>
          </cell>
          <cell r="F289" t="str">
            <v>Rafeq</v>
          </cell>
          <cell r="G289" t="str">
            <v>Fatah</v>
          </cell>
          <cell r="H289" t="str">
            <v>Male</v>
          </cell>
          <cell r="I289">
            <v>1993</v>
          </cell>
          <cell r="J289" t="str">
            <v>Kurdish</v>
          </cell>
          <cell r="K289" t="str">
            <v>0750 419 7123</v>
          </cell>
          <cell r="L289" t="str">
            <v>0750 4541700</v>
          </cell>
          <cell r="M289" t="str">
            <v>jagger1993@gmail.com</v>
          </cell>
          <cell r="N289" t="str">
            <v>No</v>
          </cell>
          <cell r="O289" t="str">
            <v>No</v>
          </cell>
          <cell r="P289" t="str">
            <v>Local</v>
          </cell>
          <cell r="Q289" t="str">
            <v>First Year</v>
          </cell>
          <cell r="R289" t="str">
            <v>Martyr's Aid</v>
          </cell>
          <cell r="T289" t="str">
            <v>Accepted</v>
          </cell>
          <cell r="U289">
            <v>0</v>
          </cell>
          <cell r="V289" t="str">
            <v>Spring</v>
          </cell>
          <cell r="W289" t="str">
            <v>2016</v>
          </cell>
          <cell r="Z289" t="str">
            <v>High School</v>
          </cell>
          <cell r="AA289">
            <v>2015</v>
          </cell>
          <cell r="AB289">
            <v>2</v>
          </cell>
          <cell r="AC289">
            <v>2</v>
          </cell>
          <cell r="AD289" t="str">
            <v>science</v>
          </cell>
          <cell r="AE289" t="str">
            <v>Chiya</v>
          </cell>
          <cell r="AF289" t="str">
            <v>Duhok</v>
          </cell>
          <cell r="AG289" t="str">
            <v>Hay Al-askari</v>
          </cell>
          <cell r="AH289">
            <v>55</v>
          </cell>
          <cell r="AK289">
            <v>55</v>
          </cell>
          <cell r="AL289">
            <v>1</v>
          </cell>
          <cell r="AM289">
            <v>56</v>
          </cell>
          <cell r="AP289">
            <v>2</v>
          </cell>
          <cell r="BG289">
            <v>1</v>
          </cell>
        </row>
        <row r="290">
          <cell r="D290" t="str">
            <v>A21600095</v>
          </cell>
          <cell r="E290" t="str">
            <v>Mawa</v>
          </cell>
          <cell r="F290" t="str">
            <v>Khalid</v>
          </cell>
          <cell r="G290" t="str">
            <v>Hussein</v>
          </cell>
          <cell r="H290" t="str">
            <v>Female</v>
          </cell>
          <cell r="I290">
            <v>1997</v>
          </cell>
          <cell r="J290" t="str">
            <v>Kurdish</v>
          </cell>
          <cell r="K290" t="str">
            <v>0750 350 5923</v>
          </cell>
          <cell r="L290" t="str">
            <v>0750 450 5923</v>
          </cell>
          <cell r="N290" t="str">
            <v>No</v>
          </cell>
          <cell r="O290" t="str">
            <v>No</v>
          </cell>
          <cell r="P290" t="str">
            <v>Local</v>
          </cell>
          <cell r="Q290" t="str">
            <v>First Year</v>
          </cell>
          <cell r="R290" t="str">
            <v>Regular</v>
          </cell>
          <cell r="T290" t="str">
            <v>Accepted</v>
          </cell>
          <cell r="U290">
            <v>0</v>
          </cell>
          <cell r="V290" t="str">
            <v>Spring</v>
          </cell>
          <cell r="W290" t="str">
            <v>2016</v>
          </cell>
          <cell r="Z290" t="str">
            <v>High School</v>
          </cell>
          <cell r="AA290">
            <v>2015</v>
          </cell>
          <cell r="AB290">
            <v>1</v>
          </cell>
          <cell r="AC290">
            <v>1</v>
          </cell>
          <cell r="AD290" t="str">
            <v>Science</v>
          </cell>
          <cell r="AE290" t="str">
            <v>Jagar Khowin</v>
          </cell>
          <cell r="AF290" t="str">
            <v>Duhok</v>
          </cell>
          <cell r="AG290" t="str">
            <v>Ronahi Quarter</v>
          </cell>
          <cell r="AH290">
            <v>57.7</v>
          </cell>
          <cell r="AK290">
            <v>57.7</v>
          </cell>
          <cell r="AL290">
            <v>3</v>
          </cell>
          <cell r="AM290">
            <v>60.7</v>
          </cell>
          <cell r="AP290">
            <v>1</v>
          </cell>
          <cell r="AW290">
            <v>1</v>
          </cell>
        </row>
        <row r="291">
          <cell r="D291" t="str">
            <v>A21600096</v>
          </cell>
          <cell r="E291" t="str">
            <v>Hemin</v>
          </cell>
          <cell r="F291" t="str">
            <v>Nouri</v>
          </cell>
          <cell r="G291" t="str">
            <v>Salih</v>
          </cell>
          <cell r="H291" t="str">
            <v>Male</v>
          </cell>
          <cell r="I291">
            <v>1995</v>
          </cell>
          <cell r="J291" t="str">
            <v>Kurdish</v>
          </cell>
          <cell r="K291" t="str">
            <v>0750 459 4564</v>
          </cell>
          <cell r="L291" t="str">
            <v>0750 199 9979</v>
          </cell>
          <cell r="N291" t="str">
            <v>No</v>
          </cell>
          <cell r="O291" t="str">
            <v>No</v>
          </cell>
          <cell r="P291" t="str">
            <v>Local</v>
          </cell>
          <cell r="Q291" t="str">
            <v>First Year</v>
          </cell>
          <cell r="R291" t="str">
            <v>Regular</v>
          </cell>
          <cell r="T291" t="str">
            <v>Accepted</v>
          </cell>
          <cell r="U291">
            <v>0</v>
          </cell>
          <cell r="V291" t="str">
            <v>Spring</v>
          </cell>
          <cell r="W291" t="str">
            <v>2016</v>
          </cell>
          <cell r="Z291" t="str">
            <v>High School</v>
          </cell>
          <cell r="AA291">
            <v>2015</v>
          </cell>
          <cell r="AB291">
            <v>1</v>
          </cell>
          <cell r="AC291">
            <v>2</v>
          </cell>
          <cell r="AD291" t="str">
            <v>Arts</v>
          </cell>
          <cell r="AE291" t="str">
            <v>Dastor</v>
          </cell>
          <cell r="AF291" t="str">
            <v>Duhok</v>
          </cell>
          <cell r="AG291" t="str">
            <v>Masike 1</v>
          </cell>
          <cell r="AH291">
            <v>56</v>
          </cell>
          <cell r="AK291">
            <v>56</v>
          </cell>
          <cell r="AL291">
            <v>1</v>
          </cell>
          <cell r="AM291">
            <v>57</v>
          </cell>
          <cell r="AP291">
            <v>3</v>
          </cell>
          <cell r="BG291">
            <v>1</v>
          </cell>
        </row>
        <row r="292">
          <cell r="D292" t="str">
            <v>A21600097</v>
          </cell>
          <cell r="E292" t="str">
            <v>Novin</v>
          </cell>
          <cell r="F292" t="str">
            <v>Abdulazeez</v>
          </cell>
          <cell r="G292" t="str">
            <v>Waisi</v>
          </cell>
          <cell r="H292" t="str">
            <v>Female</v>
          </cell>
          <cell r="I292">
            <v>1995</v>
          </cell>
          <cell r="J292" t="str">
            <v>Kurdish</v>
          </cell>
          <cell r="K292" t="str">
            <v>0750 444 70 78</v>
          </cell>
          <cell r="L292" t="str">
            <v>0750 444 25 76</v>
          </cell>
          <cell r="N292" t="str">
            <v>No</v>
          </cell>
          <cell r="O292" t="str">
            <v>No</v>
          </cell>
          <cell r="P292" t="str">
            <v>Local</v>
          </cell>
          <cell r="Q292" t="str">
            <v>First Year</v>
          </cell>
          <cell r="R292" t="str">
            <v>Regular</v>
          </cell>
          <cell r="T292" t="str">
            <v>Accepted</v>
          </cell>
          <cell r="U292">
            <v>0</v>
          </cell>
          <cell r="V292" t="str">
            <v>Spring</v>
          </cell>
          <cell r="W292" t="str">
            <v>2016</v>
          </cell>
          <cell r="Z292" t="str">
            <v>High School</v>
          </cell>
          <cell r="AA292">
            <v>2015</v>
          </cell>
          <cell r="AB292">
            <v>2</v>
          </cell>
          <cell r="AC292">
            <v>2</v>
          </cell>
          <cell r="AD292" t="str">
            <v>Science</v>
          </cell>
          <cell r="AE292" t="str">
            <v>Duhok</v>
          </cell>
          <cell r="AF292" t="str">
            <v>Duhok</v>
          </cell>
          <cell r="AG292" t="str">
            <v>Taxe Reza</v>
          </cell>
          <cell r="AH292">
            <v>85</v>
          </cell>
          <cell r="AK292">
            <v>85</v>
          </cell>
          <cell r="AL292">
            <v>1</v>
          </cell>
          <cell r="AM292">
            <v>86</v>
          </cell>
          <cell r="AP292">
            <v>2</v>
          </cell>
          <cell r="BD292">
            <v>1</v>
          </cell>
        </row>
        <row r="293">
          <cell r="D293" t="str">
            <v>A21600098</v>
          </cell>
          <cell r="E293" t="str">
            <v xml:space="preserve">Waisi </v>
          </cell>
          <cell r="F293" t="str">
            <v>Abdulazeez</v>
          </cell>
          <cell r="G293" t="str">
            <v>Waisi</v>
          </cell>
          <cell r="H293" t="str">
            <v>Male</v>
          </cell>
          <cell r="I293">
            <v>1996</v>
          </cell>
          <cell r="K293" t="str">
            <v>0750 352 3003</v>
          </cell>
          <cell r="L293" t="str">
            <v>0750 444 2576</v>
          </cell>
          <cell r="N293" t="str">
            <v>No</v>
          </cell>
          <cell r="O293" t="str">
            <v>No</v>
          </cell>
          <cell r="P293" t="str">
            <v>Local</v>
          </cell>
          <cell r="Q293" t="str">
            <v>First Year</v>
          </cell>
          <cell r="R293" t="str">
            <v>Regular</v>
          </cell>
          <cell r="S293" t="str">
            <v>Family Discount</v>
          </cell>
          <cell r="T293" t="str">
            <v>Accepted</v>
          </cell>
          <cell r="U293">
            <v>0</v>
          </cell>
          <cell r="V293" t="str">
            <v>Spring</v>
          </cell>
          <cell r="W293" t="str">
            <v>2016</v>
          </cell>
          <cell r="Z293" t="str">
            <v>High School</v>
          </cell>
          <cell r="AA293">
            <v>2015</v>
          </cell>
          <cell r="AD293" t="str">
            <v>Science</v>
          </cell>
          <cell r="AE293" t="str">
            <v>Brayati</v>
          </cell>
          <cell r="AF293" t="str">
            <v>Duhok</v>
          </cell>
          <cell r="AG293" t="str">
            <v>Taxe Reza</v>
          </cell>
          <cell r="AH293">
            <v>86.8</v>
          </cell>
          <cell r="AK293">
            <v>86.8</v>
          </cell>
          <cell r="AL293">
            <v>1</v>
          </cell>
          <cell r="AM293">
            <v>87.8</v>
          </cell>
          <cell r="AP293">
            <v>1</v>
          </cell>
          <cell r="BG293">
            <v>1</v>
          </cell>
        </row>
        <row r="294">
          <cell r="D294" t="str">
            <v>A21600099</v>
          </cell>
          <cell r="E294" t="str">
            <v>Mohammed</v>
          </cell>
          <cell r="F294" t="str">
            <v>Daldar</v>
          </cell>
          <cell r="G294" t="str">
            <v>Arif</v>
          </cell>
          <cell r="H294" t="str">
            <v>Male</v>
          </cell>
          <cell r="I294">
            <v>1997</v>
          </cell>
          <cell r="K294" t="str">
            <v>0750 863 9292</v>
          </cell>
          <cell r="L294" t="str">
            <v>0750 446 0713</v>
          </cell>
          <cell r="N294" t="str">
            <v>No</v>
          </cell>
          <cell r="O294" t="str">
            <v>No</v>
          </cell>
          <cell r="P294" t="str">
            <v>Local</v>
          </cell>
          <cell r="Q294" t="str">
            <v>First Year</v>
          </cell>
          <cell r="R294" t="str">
            <v>Regular</v>
          </cell>
          <cell r="T294" t="str">
            <v>Accepted</v>
          </cell>
          <cell r="U294">
            <v>0</v>
          </cell>
          <cell r="V294" t="str">
            <v>Spring</v>
          </cell>
          <cell r="W294" t="str">
            <v>2016</v>
          </cell>
          <cell r="Z294" t="str">
            <v>High School</v>
          </cell>
          <cell r="AA294">
            <v>2015</v>
          </cell>
          <cell r="AE294" t="str">
            <v>Kawa</v>
          </cell>
          <cell r="AF294" t="str">
            <v>Duhok</v>
          </cell>
          <cell r="AG294" t="str">
            <v>Miran</v>
          </cell>
          <cell r="AH294">
            <v>67.400000000000006</v>
          </cell>
          <cell r="AK294">
            <v>67.400000000000006</v>
          </cell>
          <cell r="AL294">
            <v>1</v>
          </cell>
          <cell r="AM294">
            <v>68.400000000000006</v>
          </cell>
          <cell r="AP294">
            <v>1</v>
          </cell>
          <cell r="BB294">
            <v>1</v>
          </cell>
        </row>
        <row r="295">
          <cell r="D295" t="str">
            <v>A21600100</v>
          </cell>
          <cell r="E295" t="str">
            <v>Faroq</v>
          </cell>
          <cell r="F295" t="str">
            <v>Khalid</v>
          </cell>
          <cell r="G295" t="str">
            <v>Yousif</v>
          </cell>
          <cell r="H295" t="str">
            <v>Male</v>
          </cell>
          <cell r="K295" t="str">
            <v>0750 850 8102</v>
          </cell>
          <cell r="N295" t="str">
            <v>No</v>
          </cell>
          <cell r="O295" t="str">
            <v>No</v>
          </cell>
          <cell r="P295" t="str">
            <v>Local</v>
          </cell>
          <cell r="Q295" t="str">
            <v>First Year</v>
          </cell>
          <cell r="R295" t="str">
            <v>Regular</v>
          </cell>
          <cell r="T295" t="str">
            <v>Pending</v>
          </cell>
          <cell r="V295" t="str">
            <v>Spring</v>
          </cell>
          <cell r="W295" t="str">
            <v>2016</v>
          </cell>
          <cell r="Z295" t="str">
            <v>High School</v>
          </cell>
          <cell r="AA295">
            <v>2015</v>
          </cell>
          <cell r="AE295" t="str">
            <v>Taakhi</v>
          </cell>
          <cell r="AF295" t="str">
            <v>Duhok</v>
          </cell>
          <cell r="AH295">
            <v>61.7</v>
          </cell>
          <cell r="AK295">
            <v>61.7</v>
          </cell>
          <cell r="AL295">
            <v>1</v>
          </cell>
          <cell r="AM295">
            <v>62.7</v>
          </cell>
          <cell r="AP295">
            <v>3</v>
          </cell>
          <cell r="BB295">
            <v>1</v>
          </cell>
        </row>
        <row r="296">
          <cell r="D296" t="str">
            <v>A21600101</v>
          </cell>
          <cell r="E296" t="str">
            <v>Younis</v>
          </cell>
          <cell r="F296" t="str">
            <v>Saad</v>
          </cell>
          <cell r="G296" t="str">
            <v>Rashid</v>
          </cell>
          <cell r="H296" t="str">
            <v>Male</v>
          </cell>
          <cell r="I296">
            <v>1995</v>
          </cell>
          <cell r="J296" t="str">
            <v>Kurdish</v>
          </cell>
          <cell r="K296" t="str">
            <v>0750 457 6600</v>
          </cell>
          <cell r="L296" t="str">
            <v>0750 424 6463</v>
          </cell>
          <cell r="N296" t="str">
            <v>No</v>
          </cell>
          <cell r="O296" t="str">
            <v>No</v>
          </cell>
          <cell r="P296" t="str">
            <v>Local</v>
          </cell>
          <cell r="Q296" t="str">
            <v>First Year</v>
          </cell>
          <cell r="R296" t="str">
            <v>Political Prisoner</v>
          </cell>
          <cell r="T296" t="str">
            <v>Accepted</v>
          </cell>
          <cell r="U296" t="str">
            <v>Withdraw</v>
          </cell>
          <cell r="V296" t="str">
            <v>Spring</v>
          </cell>
          <cell r="W296" t="str">
            <v>2016</v>
          </cell>
          <cell r="Z296" t="str">
            <v>High School</v>
          </cell>
          <cell r="AA296">
            <v>2015</v>
          </cell>
          <cell r="AB296">
            <v>2</v>
          </cell>
          <cell r="AC296">
            <v>1</v>
          </cell>
          <cell r="AD296" t="str">
            <v>Arts</v>
          </cell>
          <cell r="AE296" t="str">
            <v>SadiqBahaadeen</v>
          </cell>
          <cell r="AF296" t="str">
            <v>Duhok</v>
          </cell>
          <cell r="AG296" t="str">
            <v>K.R.O</v>
          </cell>
          <cell r="AH296">
            <v>69</v>
          </cell>
          <cell r="AK296">
            <v>69</v>
          </cell>
          <cell r="AL296">
            <v>3</v>
          </cell>
          <cell r="AM296">
            <v>72</v>
          </cell>
          <cell r="AP296">
            <v>0</v>
          </cell>
        </row>
        <row r="297">
          <cell r="D297" t="str">
            <v>A21600102</v>
          </cell>
          <cell r="E297" t="str">
            <v>Tavreen</v>
          </cell>
          <cell r="F297" t="str">
            <v>Salman</v>
          </cell>
          <cell r="G297" t="str">
            <v>Shaban</v>
          </cell>
          <cell r="H297" t="str">
            <v>Female</v>
          </cell>
          <cell r="I297">
            <v>1993</v>
          </cell>
          <cell r="J297" t="str">
            <v>Kurdish</v>
          </cell>
          <cell r="K297" t="str">
            <v>0750 440 9709</v>
          </cell>
          <cell r="L297" t="str">
            <v>0750 445 0386</v>
          </cell>
          <cell r="N297" t="str">
            <v>No</v>
          </cell>
          <cell r="O297" t="str">
            <v>No</v>
          </cell>
          <cell r="P297" t="str">
            <v>Local</v>
          </cell>
          <cell r="Q297" t="str">
            <v>First Year</v>
          </cell>
          <cell r="R297" t="str">
            <v>Regular</v>
          </cell>
          <cell r="T297" t="str">
            <v>Accepted</v>
          </cell>
          <cell r="U297">
            <v>0</v>
          </cell>
          <cell r="V297" t="str">
            <v>Spring</v>
          </cell>
          <cell r="W297" t="str">
            <v>2016</v>
          </cell>
          <cell r="Z297" t="str">
            <v>High School</v>
          </cell>
          <cell r="AA297">
            <v>2015</v>
          </cell>
          <cell r="AB297">
            <v>4</v>
          </cell>
          <cell r="AC297">
            <v>2</v>
          </cell>
          <cell r="AD297" t="str">
            <v>Science</v>
          </cell>
          <cell r="AE297" t="str">
            <v>Hayv</v>
          </cell>
          <cell r="AF297" t="str">
            <v>Duhok</v>
          </cell>
          <cell r="AG297" t="str">
            <v>K.R.O</v>
          </cell>
          <cell r="AH297">
            <v>79</v>
          </cell>
          <cell r="AK297">
            <v>79</v>
          </cell>
          <cell r="AL297">
            <v>1</v>
          </cell>
          <cell r="AM297">
            <v>80</v>
          </cell>
          <cell r="AP297">
            <v>1</v>
          </cell>
          <cell r="AQ297">
            <v>1</v>
          </cell>
        </row>
        <row r="298">
          <cell r="D298" t="str">
            <v>A21600103</v>
          </cell>
          <cell r="E298" t="str">
            <v>Juhan</v>
          </cell>
          <cell r="F298" t="str">
            <v>Ayad Al-deen</v>
          </cell>
          <cell r="G298" t="str">
            <v>Sheekh Mosa</v>
          </cell>
          <cell r="H298" t="str">
            <v>Female</v>
          </cell>
          <cell r="I298">
            <v>1998</v>
          </cell>
          <cell r="J298" t="str">
            <v>Kurdish</v>
          </cell>
          <cell r="K298" t="str">
            <v>0750 467 6444</v>
          </cell>
          <cell r="L298" t="str">
            <v>0750 454 0500</v>
          </cell>
          <cell r="N298" t="str">
            <v>No</v>
          </cell>
          <cell r="O298" t="str">
            <v>No</v>
          </cell>
          <cell r="P298" t="str">
            <v>Local</v>
          </cell>
          <cell r="Q298" t="str">
            <v>First Year</v>
          </cell>
          <cell r="R298" t="str">
            <v>Regular</v>
          </cell>
          <cell r="S298" t="str">
            <v>Family Discount</v>
          </cell>
          <cell r="T298" t="str">
            <v>Accepted</v>
          </cell>
          <cell r="U298">
            <v>0</v>
          </cell>
          <cell r="V298" t="str">
            <v>Spring</v>
          </cell>
          <cell r="W298" t="str">
            <v>2016</v>
          </cell>
          <cell r="Z298" t="str">
            <v>High School</v>
          </cell>
          <cell r="AA298">
            <v>2015</v>
          </cell>
          <cell r="AB298">
            <v>1</v>
          </cell>
          <cell r="AC298">
            <v>2</v>
          </cell>
          <cell r="AD298" t="str">
            <v>Science</v>
          </cell>
          <cell r="AE298" t="str">
            <v>Ishik</v>
          </cell>
          <cell r="AF298" t="str">
            <v>Duhok</v>
          </cell>
          <cell r="AG298" t="str">
            <v xml:space="preserve">Zozan City </v>
          </cell>
          <cell r="AH298">
            <v>57.3</v>
          </cell>
          <cell r="AK298">
            <v>57.3</v>
          </cell>
          <cell r="AL298">
            <v>1</v>
          </cell>
          <cell r="AM298">
            <v>58.3</v>
          </cell>
          <cell r="AP298">
            <v>4</v>
          </cell>
          <cell r="AQ298">
            <v>1</v>
          </cell>
          <cell r="BB298">
            <v>1</v>
          </cell>
        </row>
        <row r="299">
          <cell r="D299" t="str">
            <v>A21600104</v>
          </cell>
          <cell r="E299" t="str">
            <v>Jowan</v>
          </cell>
          <cell r="F299" t="str">
            <v>Ayad Al-deen</v>
          </cell>
          <cell r="G299" t="str">
            <v>Sheekh Mosa</v>
          </cell>
          <cell r="H299" t="str">
            <v>Female</v>
          </cell>
          <cell r="I299">
            <v>1997</v>
          </cell>
          <cell r="K299" t="str">
            <v>0750 467 6444</v>
          </cell>
          <cell r="L299" t="str">
            <v>751 454 0500</v>
          </cell>
          <cell r="N299" t="str">
            <v>No</v>
          </cell>
          <cell r="O299" t="str">
            <v>No</v>
          </cell>
          <cell r="P299" t="str">
            <v>Local</v>
          </cell>
          <cell r="Q299" t="str">
            <v>First Year</v>
          </cell>
          <cell r="R299" t="str">
            <v>Siblings</v>
          </cell>
          <cell r="T299" t="str">
            <v>Accepted</v>
          </cell>
          <cell r="U299">
            <v>0</v>
          </cell>
          <cell r="V299" t="str">
            <v>Spring</v>
          </cell>
          <cell r="W299" t="str">
            <v>2016</v>
          </cell>
          <cell r="Z299" t="str">
            <v>High School</v>
          </cell>
          <cell r="AA299">
            <v>2015</v>
          </cell>
          <cell r="AE299" t="str">
            <v>Ishik</v>
          </cell>
          <cell r="AF299" t="str">
            <v>Duhok</v>
          </cell>
          <cell r="AG299" t="str">
            <v xml:space="preserve">Zozan City </v>
          </cell>
          <cell r="AH299">
            <v>64.3</v>
          </cell>
          <cell r="AI299">
            <v>70.23</v>
          </cell>
          <cell r="AJ299">
            <v>77.319999999999993</v>
          </cell>
          <cell r="AK299">
            <v>66.194999999999993</v>
          </cell>
          <cell r="AL299">
            <v>3</v>
          </cell>
          <cell r="AM299">
            <v>69.194999999999993</v>
          </cell>
          <cell r="AP299">
            <v>3</v>
          </cell>
          <cell r="AQ299">
            <v>1</v>
          </cell>
        </row>
        <row r="300">
          <cell r="D300" t="str">
            <v>A21600105</v>
          </cell>
          <cell r="E300" t="str">
            <v>Aseel</v>
          </cell>
          <cell r="F300" t="str">
            <v>Ali</v>
          </cell>
          <cell r="G300" t="str">
            <v>Hussein</v>
          </cell>
          <cell r="H300" t="str">
            <v>Female</v>
          </cell>
          <cell r="I300">
            <v>1996</v>
          </cell>
          <cell r="K300" t="str">
            <v>0750 433 3876</v>
          </cell>
          <cell r="L300" t="str">
            <v>0750 884 76 94</v>
          </cell>
          <cell r="N300" t="str">
            <v>Yes</v>
          </cell>
          <cell r="O300" t="str">
            <v>No</v>
          </cell>
          <cell r="P300" t="str">
            <v>Local</v>
          </cell>
          <cell r="Q300" t="str">
            <v>First Year</v>
          </cell>
          <cell r="R300" t="str">
            <v>Regular</v>
          </cell>
          <cell r="T300" t="str">
            <v>Accepted</v>
          </cell>
          <cell r="U300">
            <v>0</v>
          </cell>
          <cell r="V300" t="str">
            <v>Spring</v>
          </cell>
          <cell r="W300" t="str">
            <v>2016</v>
          </cell>
          <cell r="Z300" t="str">
            <v>High School</v>
          </cell>
          <cell r="AA300">
            <v>2015</v>
          </cell>
          <cell r="AE300" t="str">
            <v>Rangeen</v>
          </cell>
          <cell r="AF300" t="str">
            <v>Zakho</v>
          </cell>
          <cell r="AG300" t="str">
            <v>Hussineke</v>
          </cell>
          <cell r="AH300">
            <v>66.8</v>
          </cell>
          <cell r="AK300">
            <v>66.8</v>
          </cell>
          <cell r="AL300">
            <v>3</v>
          </cell>
          <cell r="AM300">
            <v>69.8</v>
          </cell>
          <cell r="AP300">
            <v>1</v>
          </cell>
          <cell r="AQ300">
            <v>2</v>
          </cell>
          <cell r="BB300">
            <v>1</v>
          </cell>
        </row>
        <row r="301">
          <cell r="D301" t="str">
            <v>A21600106</v>
          </cell>
          <cell r="E301" t="str">
            <v>Rayan</v>
          </cell>
          <cell r="F301" t="str">
            <v>Badal</v>
          </cell>
          <cell r="G301" t="str">
            <v>Sulaiman</v>
          </cell>
          <cell r="H301" t="str">
            <v>Male</v>
          </cell>
          <cell r="I301">
            <v>1998</v>
          </cell>
          <cell r="J301" t="str">
            <v>Kurdish</v>
          </cell>
          <cell r="K301" t="str">
            <v>0750 450 9833</v>
          </cell>
          <cell r="L301" t="str">
            <v>0750 487 2355</v>
          </cell>
          <cell r="N301" t="str">
            <v>No</v>
          </cell>
          <cell r="O301" t="str">
            <v>No</v>
          </cell>
          <cell r="P301" t="str">
            <v>Local</v>
          </cell>
          <cell r="Q301" t="str">
            <v>First Year</v>
          </cell>
          <cell r="R301" t="str">
            <v>Regular</v>
          </cell>
          <cell r="T301" t="str">
            <v>Accepted</v>
          </cell>
          <cell r="U301">
            <v>0</v>
          </cell>
          <cell r="V301" t="str">
            <v>Spring</v>
          </cell>
          <cell r="W301" t="str">
            <v>2016</v>
          </cell>
          <cell r="Z301" t="str">
            <v>High School</v>
          </cell>
          <cell r="AA301">
            <v>2015</v>
          </cell>
          <cell r="AB301">
            <v>1</v>
          </cell>
          <cell r="AC301">
            <v>2</v>
          </cell>
          <cell r="AD301" t="str">
            <v>science</v>
          </cell>
          <cell r="AE301" t="str">
            <v>Kawa</v>
          </cell>
          <cell r="AF301" t="str">
            <v>Duhok</v>
          </cell>
          <cell r="AG301" t="str">
            <v>Malta</v>
          </cell>
          <cell r="AH301">
            <v>63.7</v>
          </cell>
          <cell r="AI301">
            <v>1</v>
          </cell>
          <cell r="AJ301">
            <v>2</v>
          </cell>
          <cell r="AK301">
            <v>63.7</v>
          </cell>
          <cell r="AL301">
            <v>1</v>
          </cell>
          <cell r="AM301">
            <v>64.7</v>
          </cell>
          <cell r="AP301">
            <v>1</v>
          </cell>
          <cell r="BG301">
            <v>1</v>
          </cell>
        </row>
        <row r="302">
          <cell r="D302" t="str">
            <v>A21600107</v>
          </cell>
          <cell r="E302" t="str">
            <v>Ashraf</v>
          </cell>
          <cell r="F302" t="str">
            <v>Shaker</v>
          </cell>
          <cell r="G302" t="str">
            <v>Salim</v>
          </cell>
          <cell r="H302" t="str">
            <v>Male</v>
          </cell>
          <cell r="I302">
            <v>1996</v>
          </cell>
          <cell r="J302" t="str">
            <v>Kurdish</v>
          </cell>
          <cell r="K302" t="str">
            <v>0750 316 8393</v>
          </cell>
          <cell r="L302" t="str">
            <v>0750 450 1343</v>
          </cell>
          <cell r="M302" t="str">
            <v>kurdikurdi67@yahoo.com</v>
          </cell>
          <cell r="N302" t="str">
            <v>No</v>
          </cell>
          <cell r="O302" t="str">
            <v>No</v>
          </cell>
          <cell r="P302" t="str">
            <v>Local</v>
          </cell>
          <cell r="Q302" t="str">
            <v>First Year</v>
          </cell>
          <cell r="R302" t="str">
            <v>Regular</v>
          </cell>
          <cell r="T302" t="str">
            <v>Accepted</v>
          </cell>
          <cell r="U302">
            <v>0</v>
          </cell>
          <cell r="V302" t="str">
            <v>Spring</v>
          </cell>
          <cell r="W302" t="str">
            <v>2016</v>
          </cell>
          <cell r="Z302" t="str">
            <v>High School</v>
          </cell>
          <cell r="AA302">
            <v>2015</v>
          </cell>
          <cell r="AB302">
            <v>2</v>
          </cell>
          <cell r="AC302">
            <v>2</v>
          </cell>
          <cell r="AD302" t="str">
            <v>Science</v>
          </cell>
          <cell r="AE302" t="str">
            <v>SadiqBahaadeen</v>
          </cell>
          <cell r="AF302" t="str">
            <v>Duhok</v>
          </cell>
          <cell r="AG302" t="str">
            <v>K.R.O</v>
          </cell>
          <cell r="AH302">
            <v>60</v>
          </cell>
          <cell r="AI302">
            <v>58</v>
          </cell>
          <cell r="AJ302">
            <v>54</v>
          </cell>
          <cell r="AK302">
            <v>60</v>
          </cell>
          <cell r="AL302">
            <v>1</v>
          </cell>
          <cell r="AM302">
            <v>61</v>
          </cell>
          <cell r="AP302">
            <v>2</v>
          </cell>
          <cell r="BI302">
            <v>1</v>
          </cell>
        </row>
        <row r="303">
          <cell r="D303" t="str">
            <v>A21600108</v>
          </cell>
          <cell r="E303" t="str">
            <v>Mohammed</v>
          </cell>
          <cell r="F303" t="str">
            <v>Anas</v>
          </cell>
          <cell r="G303" t="str">
            <v>Tawfeeq</v>
          </cell>
          <cell r="H303" t="str">
            <v>Male</v>
          </cell>
          <cell r="K303" t="str">
            <v>0770 412 5470</v>
          </cell>
          <cell r="L303" t="str">
            <v>0772 447 7625</v>
          </cell>
          <cell r="M303" t="str">
            <v>mohammedanas425@gmail.com</v>
          </cell>
          <cell r="N303" t="str">
            <v>No</v>
          </cell>
          <cell r="O303" t="str">
            <v>No</v>
          </cell>
          <cell r="P303" t="str">
            <v>Local</v>
          </cell>
          <cell r="Q303" t="str">
            <v>First Year</v>
          </cell>
          <cell r="R303" t="str">
            <v>Regular</v>
          </cell>
          <cell r="T303" t="str">
            <v>Pending</v>
          </cell>
          <cell r="V303" t="str">
            <v>Spring</v>
          </cell>
          <cell r="W303" t="str">
            <v>2016</v>
          </cell>
          <cell r="Z303" t="str">
            <v>High School</v>
          </cell>
          <cell r="AA303">
            <v>2014</v>
          </cell>
          <cell r="AE303" t="str">
            <v>Al-Sadiq</v>
          </cell>
          <cell r="AF303" t="str">
            <v>Duhok</v>
          </cell>
          <cell r="AG303" t="str">
            <v>Avro City</v>
          </cell>
          <cell r="AH303">
            <v>90.8</v>
          </cell>
          <cell r="AK303">
            <v>90.8</v>
          </cell>
          <cell r="AM303">
            <v>90.8</v>
          </cell>
          <cell r="AP303">
            <v>0</v>
          </cell>
        </row>
        <row r="304">
          <cell r="D304" t="str">
            <v>A21600109</v>
          </cell>
          <cell r="E304" t="str">
            <v>Diler</v>
          </cell>
          <cell r="F304" t="str">
            <v>Sabah</v>
          </cell>
          <cell r="G304" t="str">
            <v>Omar</v>
          </cell>
          <cell r="H304" t="str">
            <v>Male</v>
          </cell>
          <cell r="I304">
            <v>1998</v>
          </cell>
          <cell r="J304" t="str">
            <v>Kurdish</v>
          </cell>
          <cell r="K304" t="str">
            <v>0750 411 1061</v>
          </cell>
          <cell r="L304" t="str">
            <v>0750 450 1160</v>
          </cell>
          <cell r="N304" t="str">
            <v>No</v>
          </cell>
          <cell r="O304" t="str">
            <v>No</v>
          </cell>
          <cell r="P304" t="str">
            <v>Local</v>
          </cell>
          <cell r="Q304" t="str">
            <v>First Year</v>
          </cell>
          <cell r="R304" t="str">
            <v>Regular</v>
          </cell>
          <cell r="T304" t="str">
            <v>Accepted</v>
          </cell>
          <cell r="U304">
            <v>0</v>
          </cell>
          <cell r="V304" t="str">
            <v>Spring</v>
          </cell>
          <cell r="W304" t="str">
            <v>2016</v>
          </cell>
          <cell r="Z304" t="str">
            <v>High School</v>
          </cell>
          <cell r="AA304">
            <v>2015</v>
          </cell>
          <cell r="AB304">
            <v>1</v>
          </cell>
          <cell r="AC304">
            <v>2</v>
          </cell>
          <cell r="AD304" t="str">
            <v>Science</v>
          </cell>
          <cell r="AE304" t="str">
            <v>Khanke</v>
          </cell>
          <cell r="AF304" t="str">
            <v>Duhok</v>
          </cell>
          <cell r="AG304" t="str">
            <v>Khanke</v>
          </cell>
          <cell r="AH304">
            <v>78</v>
          </cell>
          <cell r="AI304">
            <v>86.75</v>
          </cell>
          <cell r="AJ304">
            <v>92.6</v>
          </cell>
          <cell r="AK304">
            <v>80.335000000000008</v>
          </cell>
          <cell r="AL304">
            <v>3</v>
          </cell>
          <cell r="AM304">
            <v>83.335000000000008</v>
          </cell>
          <cell r="AP304">
            <v>2</v>
          </cell>
          <cell r="AW304">
            <v>1</v>
          </cell>
        </row>
        <row r="305">
          <cell r="D305" t="str">
            <v>A21600110</v>
          </cell>
          <cell r="E305" t="str">
            <v>Masood</v>
          </cell>
          <cell r="F305" t="str">
            <v>Ramadhan</v>
          </cell>
          <cell r="G305" t="str">
            <v>Ahmed</v>
          </cell>
          <cell r="H305" t="str">
            <v>Male</v>
          </cell>
          <cell r="K305" t="str">
            <v>0750 459 7296</v>
          </cell>
          <cell r="L305" t="str">
            <v>0750 744 5115</v>
          </cell>
          <cell r="M305" t="str">
            <v>masoodsharafany@yahoo.com</v>
          </cell>
          <cell r="N305" t="str">
            <v>No</v>
          </cell>
          <cell r="O305" t="str">
            <v>No</v>
          </cell>
          <cell r="P305" t="str">
            <v>Local</v>
          </cell>
          <cell r="Q305" t="str">
            <v>First Year</v>
          </cell>
          <cell r="R305" t="str">
            <v>Martyr's Aid</v>
          </cell>
          <cell r="T305" t="str">
            <v>Pending</v>
          </cell>
          <cell r="V305" t="str">
            <v>Spring</v>
          </cell>
          <cell r="W305" t="str">
            <v>2016</v>
          </cell>
          <cell r="Z305" t="str">
            <v>High School</v>
          </cell>
          <cell r="AA305">
            <v>2009</v>
          </cell>
          <cell r="AE305" t="str">
            <v>Duhok</v>
          </cell>
          <cell r="AF305" t="str">
            <v>Duhok</v>
          </cell>
          <cell r="AG305" t="str">
            <v>Etit</v>
          </cell>
          <cell r="AH305">
            <v>54.8</v>
          </cell>
          <cell r="AK305">
            <v>54.8</v>
          </cell>
          <cell r="AM305">
            <v>54.8</v>
          </cell>
          <cell r="AP305">
            <v>1</v>
          </cell>
          <cell r="BB305">
            <v>1</v>
          </cell>
          <cell r="BF305">
            <v>2</v>
          </cell>
          <cell r="BG305">
            <v>3</v>
          </cell>
        </row>
        <row r="306">
          <cell r="D306" t="str">
            <v>A21600111</v>
          </cell>
          <cell r="E306" t="str">
            <v>Walat</v>
          </cell>
          <cell r="F306" t="str">
            <v>Mohammed</v>
          </cell>
          <cell r="G306" t="str">
            <v>Ameen</v>
          </cell>
          <cell r="H306" t="str">
            <v>Male</v>
          </cell>
          <cell r="I306">
            <v>1983</v>
          </cell>
          <cell r="J306" t="str">
            <v>Kurdish</v>
          </cell>
          <cell r="K306" t="str">
            <v>0750 417 4542</v>
          </cell>
          <cell r="N306" t="str">
            <v>No</v>
          </cell>
          <cell r="O306" t="str">
            <v>No</v>
          </cell>
          <cell r="P306" t="str">
            <v>Local</v>
          </cell>
          <cell r="Q306" t="str">
            <v>First Year</v>
          </cell>
          <cell r="R306" t="str">
            <v>Martyr's Aid</v>
          </cell>
          <cell r="T306" t="str">
            <v>Accepted</v>
          </cell>
          <cell r="U306">
            <v>0</v>
          </cell>
          <cell r="V306" t="str">
            <v>Spring</v>
          </cell>
          <cell r="W306" t="str">
            <v>2016</v>
          </cell>
          <cell r="Z306" t="str">
            <v>High School</v>
          </cell>
          <cell r="AA306">
            <v>2009</v>
          </cell>
          <cell r="AC306">
            <v>1</v>
          </cell>
          <cell r="AD306" t="str">
            <v>Arts</v>
          </cell>
          <cell r="AE306" t="str">
            <v>Home School</v>
          </cell>
          <cell r="AF306" t="str">
            <v>Duhok</v>
          </cell>
          <cell r="AG306" t="str">
            <v>Etit</v>
          </cell>
          <cell r="AH306">
            <v>62.8</v>
          </cell>
          <cell r="AK306">
            <v>62.8</v>
          </cell>
          <cell r="AM306">
            <v>62.8</v>
          </cell>
          <cell r="AP306">
            <v>1</v>
          </cell>
          <cell r="BJ306">
            <v>1</v>
          </cell>
        </row>
        <row r="307">
          <cell r="D307" t="str">
            <v>A21600112</v>
          </cell>
          <cell r="E307" t="str">
            <v>Zeravan</v>
          </cell>
          <cell r="F307" t="str">
            <v>Lazkin</v>
          </cell>
          <cell r="G307" t="str">
            <v>Salman</v>
          </cell>
          <cell r="H307" t="str">
            <v>Male</v>
          </cell>
          <cell r="I307">
            <v>1994</v>
          </cell>
          <cell r="J307" t="str">
            <v>Kurdish</v>
          </cell>
          <cell r="K307" t="str">
            <v>0750 409 4001</v>
          </cell>
          <cell r="L307" t="str">
            <v>0750 404 80 73</v>
          </cell>
          <cell r="N307" t="str">
            <v>No</v>
          </cell>
          <cell r="O307" t="str">
            <v>No</v>
          </cell>
          <cell r="P307" t="str">
            <v>Local</v>
          </cell>
          <cell r="Q307" t="str">
            <v>First Year</v>
          </cell>
          <cell r="R307" t="str">
            <v>Regular</v>
          </cell>
          <cell r="T307" t="str">
            <v>Accepted</v>
          </cell>
          <cell r="U307">
            <v>0</v>
          </cell>
          <cell r="V307" t="str">
            <v>Spring</v>
          </cell>
          <cell r="W307" t="str">
            <v>2016</v>
          </cell>
          <cell r="Z307" t="str">
            <v>High School</v>
          </cell>
          <cell r="AA307">
            <v>2015</v>
          </cell>
          <cell r="AB307">
            <v>2</v>
          </cell>
          <cell r="AC307">
            <v>2</v>
          </cell>
          <cell r="AD307" t="str">
            <v>Arts</v>
          </cell>
          <cell r="AE307" t="str">
            <v>Teroj</v>
          </cell>
          <cell r="AF307" t="str">
            <v>Zakho</v>
          </cell>
          <cell r="AG307" t="str">
            <v>Avro City</v>
          </cell>
          <cell r="AH307">
            <v>56.5</v>
          </cell>
          <cell r="AK307">
            <v>56.5</v>
          </cell>
          <cell r="AL307">
            <v>1</v>
          </cell>
          <cell r="AM307">
            <v>57.5</v>
          </cell>
          <cell r="AP307">
            <v>1</v>
          </cell>
          <cell r="BB307">
            <v>1</v>
          </cell>
        </row>
        <row r="308">
          <cell r="D308" t="str">
            <v>A21600113</v>
          </cell>
          <cell r="E308" t="str">
            <v>Viyan</v>
          </cell>
          <cell r="F308" t="str">
            <v>Hasan</v>
          </cell>
          <cell r="G308" t="str">
            <v>Omar</v>
          </cell>
          <cell r="H308" t="str">
            <v>Female</v>
          </cell>
          <cell r="I308">
            <v>1988</v>
          </cell>
          <cell r="J308" t="str">
            <v>Kurdish</v>
          </cell>
          <cell r="K308" t="str">
            <v>0750 427 6155</v>
          </cell>
          <cell r="L308" t="str">
            <v>0750 450 1655</v>
          </cell>
          <cell r="N308" t="str">
            <v>No</v>
          </cell>
          <cell r="O308" t="str">
            <v>No</v>
          </cell>
          <cell r="P308" t="str">
            <v>Local</v>
          </cell>
          <cell r="Q308" t="str">
            <v>First Year</v>
          </cell>
          <cell r="R308" t="str">
            <v>Martyr's Aid</v>
          </cell>
          <cell r="T308" t="str">
            <v>Accepted</v>
          </cell>
          <cell r="U308">
            <v>0</v>
          </cell>
          <cell r="V308" t="str">
            <v>Spring</v>
          </cell>
          <cell r="W308" t="str">
            <v>2016</v>
          </cell>
          <cell r="Z308" t="str">
            <v>High School</v>
          </cell>
          <cell r="AA308">
            <v>2010</v>
          </cell>
          <cell r="AB308">
            <v>1</v>
          </cell>
          <cell r="AC308">
            <v>2</v>
          </cell>
          <cell r="AD308" t="str">
            <v>Arts</v>
          </cell>
          <cell r="AE308" t="str">
            <v>Home School</v>
          </cell>
          <cell r="AF308" t="str">
            <v>Duhok</v>
          </cell>
          <cell r="AG308" t="str">
            <v>Sumel</v>
          </cell>
          <cell r="AH308">
            <v>55.7</v>
          </cell>
          <cell r="AK308">
            <v>55.7</v>
          </cell>
          <cell r="AM308">
            <v>55.7</v>
          </cell>
          <cell r="AP308">
            <v>1</v>
          </cell>
          <cell r="BB308">
            <v>1</v>
          </cell>
        </row>
        <row r="309">
          <cell r="D309" t="str">
            <v>A21600114</v>
          </cell>
          <cell r="E309" t="str">
            <v>Shaymaa</v>
          </cell>
          <cell r="F309" t="str">
            <v>Obaid</v>
          </cell>
          <cell r="G309" t="str">
            <v>Ameen</v>
          </cell>
          <cell r="H309" t="str">
            <v>Female</v>
          </cell>
          <cell r="I309">
            <v>1995</v>
          </cell>
          <cell r="K309" t="str">
            <v>0750 359 3663</v>
          </cell>
          <cell r="L309" t="str">
            <v>0750 483 9168</v>
          </cell>
          <cell r="N309" t="str">
            <v>Yes</v>
          </cell>
          <cell r="O309" t="str">
            <v>No</v>
          </cell>
          <cell r="P309" t="str">
            <v>Local</v>
          </cell>
          <cell r="Q309" t="str">
            <v>First Year</v>
          </cell>
          <cell r="R309" t="str">
            <v>Martyr's Aid</v>
          </cell>
          <cell r="S309" t="str">
            <v>Family Discount</v>
          </cell>
          <cell r="T309" t="str">
            <v>Accepted</v>
          </cell>
          <cell r="U309" t="str">
            <v>Withdraw</v>
          </cell>
          <cell r="V309" t="str">
            <v>Spring</v>
          </cell>
          <cell r="W309" t="str">
            <v>2016</v>
          </cell>
          <cell r="Z309" t="str">
            <v>High School</v>
          </cell>
          <cell r="AA309">
            <v>2014</v>
          </cell>
          <cell r="AE309" t="str">
            <v>Lavan</v>
          </cell>
          <cell r="AF309" t="str">
            <v>Duhok</v>
          </cell>
          <cell r="AG309" t="str">
            <v>K.R.O</v>
          </cell>
          <cell r="AH309">
            <v>60</v>
          </cell>
          <cell r="AK309">
            <v>60</v>
          </cell>
          <cell r="AM309">
            <v>60</v>
          </cell>
          <cell r="AP309">
            <v>1</v>
          </cell>
          <cell r="AZ309">
            <v>3</v>
          </cell>
          <cell r="BD309">
            <v>1</v>
          </cell>
          <cell r="BG309">
            <v>2</v>
          </cell>
        </row>
        <row r="310">
          <cell r="D310" t="str">
            <v>A21600115</v>
          </cell>
          <cell r="E310" t="str">
            <v>Omran</v>
          </cell>
          <cell r="F310" t="str">
            <v>Ahmed</v>
          </cell>
          <cell r="G310" t="str">
            <v>Khaled</v>
          </cell>
          <cell r="H310" t="str">
            <v>Male</v>
          </cell>
          <cell r="I310">
            <v>1996</v>
          </cell>
          <cell r="J310" t="str">
            <v>Arab</v>
          </cell>
          <cell r="K310" t="str">
            <v>0751 044 2412</v>
          </cell>
          <cell r="L310" t="str">
            <v>0751 054 5833</v>
          </cell>
          <cell r="N310" t="str">
            <v>Yes</v>
          </cell>
          <cell r="O310" t="str">
            <v>Yes</v>
          </cell>
          <cell r="P310" t="str">
            <v>Local</v>
          </cell>
          <cell r="Q310" t="str">
            <v>First Year</v>
          </cell>
          <cell r="R310" t="str">
            <v>Regular</v>
          </cell>
          <cell r="T310" t="str">
            <v>Accepted</v>
          </cell>
          <cell r="U310">
            <v>0</v>
          </cell>
          <cell r="V310" t="str">
            <v>Spring</v>
          </cell>
          <cell r="W310" t="str">
            <v>2016</v>
          </cell>
          <cell r="Z310" t="str">
            <v>High School</v>
          </cell>
          <cell r="AA310">
            <v>2013</v>
          </cell>
          <cell r="AF310" t="str">
            <v>Duhok</v>
          </cell>
          <cell r="AG310" t="str">
            <v>Dumiz</v>
          </cell>
          <cell r="AH310">
            <v>88</v>
          </cell>
          <cell r="AK310">
            <v>88</v>
          </cell>
          <cell r="AM310">
            <v>88</v>
          </cell>
          <cell r="AP310">
            <v>4</v>
          </cell>
          <cell r="AS310">
            <v>1</v>
          </cell>
        </row>
        <row r="311">
          <cell r="D311" t="str">
            <v>A21600116</v>
          </cell>
          <cell r="E311" t="str">
            <v>Rawnak</v>
          </cell>
          <cell r="F311" t="str">
            <v>Mahmood</v>
          </cell>
          <cell r="G311" t="str">
            <v>Hamoodi</v>
          </cell>
          <cell r="H311" t="str">
            <v>Female</v>
          </cell>
          <cell r="K311" t="str">
            <v>0750 482 5110</v>
          </cell>
          <cell r="L311" t="str">
            <v>0770 174 2022</v>
          </cell>
          <cell r="N311" t="str">
            <v>No</v>
          </cell>
          <cell r="O311" t="str">
            <v>No</v>
          </cell>
          <cell r="P311" t="str">
            <v>Local</v>
          </cell>
          <cell r="Q311" t="str">
            <v>First Year</v>
          </cell>
          <cell r="R311" t="str">
            <v>Regular</v>
          </cell>
          <cell r="T311" t="str">
            <v>Pending</v>
          </cell>
          <cell r="V311" t="str">
            <v>Spring</v>
          </cell>
          <cell r="W311" t="str">
            <v>2016</v>
          </cell>
          <cell r="Z311" t="str">
            <v>High School</v>
          </cell>
          <cell r="AA311">
            <v>2014</v>
          </cell>
          <cell r="AE311" t="str">
            <v>Typical Private School</v>
          </cell>
          <cell r="AF311" t="str">
            <v>Duhok</v>
          </cell>
          <cell r="AG311" t="str">
            <v>Avro City</v>
          </cell>
          <cell r="AK311">
            <v>0</v>
          </cell>
          <cell r="AM311">
            <v>0</v>
          </cell>
          <cell r="AP311">
            <v>0</v>
          </cell>
          <cell r="AS311">
            <v>1</v>
          </cell>
        </row>
        <row r="312">
          <cell r="D312" t="str">
            <v>A21600117</v>
          </cell>
          <cell r="E312" t="str">
            <v>Hiner</v>
          </cell>
          <cell r="F312" t="str">
            <v>Ridha</v>
          </cell>
          <cell r="G312" t="str">
            <v>Zubair</v>
          </cell>
          <cell r="H312" t="str">
            <v>Male</v>
          </cell>
          <cell r="I312">
            <v>1995</v>
          </cell>
          <cell r="K312" t="str">
            <v>0750 461 4913</v>
          </cell>
          <cell r="L312" t="str">
            <v>0750 4454913</v>
          </cell>
          <cell r="N312" t="str">
            <v>No</v>
          </cell>
          <cell r="O312" t="str">
            <v>No</v>
          </cell>
          <cell r="P312" t="str">
            <v>Local</v>
          </cell>
          <cell r="Q312" t="str">
            <v>First Year</v>
          </cell>
          <cell r="R312" t="str">
            <v>Political Prisoner</v>
          </cell>
          <cell r="T312" t="str">
            <v>Accepted</v>
          </cell>
          <cell r="U312">
            <v>0</v>
          </cell>
          <cell r="V312" t="str">
            <v>Spring</v>
          </cell>
          <cell r="W312" t="str">
            <v>2016</v>
          </cell>
          <cell r="Z312" t="str">
            <v>High School</v>
          </cell>
          <cell r="AA312">
            <v>2015</v>
          </cell>
          <cell r="AE312" t="str">
            <v>Sharmin</v>
          </cell>
          <cell r="AF312" t="str">
            <v>Akre</v>
          </cell>
          <cell r="AG312" t="str">
            <v>Sharmin</v>
          </cell>
          <cell r="AH312">
            <v>59.4</v>
          </cell>
          <cell r="AK312">
            <v>59.4</v>
          </cell>
          <cell r="AM312">
            <v>59.4</v>
          </cell>
          <cell r="AP312">
            <v>2</v>
          </cell>
          <cell r="BB312">
            <v>1</v>
          </cell>
        </row>
        <row r="313">
          <cell r="D313" t="str">
            <v>A21600118</v>
          </cell>
          <cell r="E313" t="str">
            <v>Salam</v>
          </cell>
          <cell r="F313" t="str">
            <v>Saleem</v>
          </cell>
          <cell r="G313" t="str">
            <v>Hussein</v>
          </cell>
          <cell r="H313" t="str">
            <v>Male</v>
          </cell>
          <cell r="K313" t="str">
            <v>0750 457 8437</v>
          </cell>
          <cell r="N313" t="str">
            <v>No</v>
          </cell>
          <cell r="O313" t="str">
            <v>No</v>
          </cell>
          <cell r="P313" t="str">
            <v>Local</v>
          </cell>
          <cell r="Q313" t="str">
            <v>First Year</v>
          </cell>
          <cell r="R313" t="str">
            <v>Regular</v>
          </cell>
          <cell r="T313" t="str">
            <v>Pending</v>
          </cell>
          <cell r="V313" t="str">
            <v>Spring</v>
          </cell>
          <cell r="W313" t="str">
            <v>2016</v>
          </cell>
          <cell r="Z313" t="str">
            <v>High School</v>
          </cell>
          <cell r="AA313">
            <v>2015</v>
          </cell>
          <cell r="AE313" t="str">
            <v>Home School</v>
          </cell>
          <cell r="AF313" t="str">
            <v>Duhok</v>
          </cell>
          <cell r="AG313" t="str">
            <v>Malta</v>
          </cell>
          <cell r="AH313">
            <v>54.7</v>
          </cell>
          <cell r="AK313">
            <v>54.7</v>
          </cell>
          <cell r="AM313">
            <v>54.7</v>
          </cell>
          <cell r="AP313">
            <v>2</v>
          </cell>
          <cell r="BB313">
            <v>1</v>
          </cell>
        </row>
        <row r="314">
          <cell r="D314" t="str">
            <v>A21600119</v>
          </cell>
          <cell r="E314" t="str">
            <v>Nergez</v>
          </cell>
          <cell r="F314" t="str">
            <v>Obaid</v>
          </cell>
          <cell r="G314" t="str">
            <v>Ameen</v>
          </cell>
          <cell r="H314" t="str">
            <v>Female</v>
          </cell>
          <cell r="K314" t="str">
            <v>0750 435 4971</v>
          </cell>
          <cell r="L314" t="str">
            <v>0750 483 9168</v>
          </cell>
          <cell r="N314" t="str">
            <v>Yes</v>
          </cell>
          <cell r="O314" t="str">
            <v>No</v>
          </cell>
          <cell r="P314" t="str">
            <v>Local</v>
          </cell>
          <cell r="Q314" t="str">
            <v>First Year</v>
          </cell>
          <cell r="R314" t="str">
            <v>Martyr's Aid</v>
          </cell>
          <cell r="T314" t="str">
            <v>Pending</v>
          </cell>
          <cell r="V314" t="str">
            <v>Spring</v>
          </cell>
          <cell r="W314" t="str">
            <v>2016</v>
          </cell>
          <cell r="Z314" t="str">
            <v>High School</v>
          </cell>
          <cell r="AA314">
            <v>2015</v>
          </cell>
          <cell r="AE314" t="str">
            <v>Home School</v>
          </cell>
          <cell r="AF314" t="str">
            <v>Duhok</v>
          </cell>
          <cell r="AG314" t="str">
            <v>K.R.O</v>
          </cell>
          <cell r="AH314">
            <v>55</v>
          </cell>
          <cell r="AK314">
            <v>55</v>
          </cell>
          <cell r="AL314">
            <v>3</v>
          </cell>
          <cell r="AM314">
            <v>58</v>
          </cell>
          <cell r="AP314">
            <v>1</v>
          </cell>
        </row>
        <row r="315">
          <cell r="D315" t="str">
            <v>A21600120</v>
          </cell>
          <cell r="E315" t="str">
            <v>Sherwan</v>
          </cell>
          <cell r="F315" t="str">
            <v>Rasheed</v>
          </cell>
          <cell r="G315" t="str">
            <v>Omer</v>
          </cell>
          <cell r="H315" t="str">
            <v>Male</v>
          </cell>
          <cell r="I315">
            <v>1997</v>
          </cell>
          <cell r="J315" t="str">
            <v>Kurdish</v>
          </cell>
          <cell r="K315" t="str">
            <v>0750 428 4830</v>
          </cell>
          <cell r="L315" t="str">
            <v>0750 765 0033</v>
          </cell>
          <cell r="N315" t="str">
            <v>No</v>
          </cell>
          <cell r="O315" t="str">
            <v>No</v>
          </cell>
          <cell r="P315" t="str">
            <v>Local</v>
          </cell>
          <cell r="Q315" t="str">
            <v>First Year</v>
          </cell>
          <cell r="R315" t="str">
            <v>Regular</v>
          </cell>
          <cell r="T315" t="str">
            <v>Accepted</v>
          </cell>
          <cell r="U315" t="str">
            <v>Withdraw</v>
          </cell>
          <cell r="V315" t="str">
            <v>Spring</v>
          </cell>
          <cell r="W315" t="str">
            <v>2016</v>
          </cell>
          <cell r="Z315" t="str">
            <v>High School</v>
          </cell>
          <cell r="AA315">
            <v>2015</v>
          </cell>
          <cell r="AB315">
            <v>2</v>
          </cell>
          <cell r="AC315">
            <v>2</v>
          </cell>
          <cell r="AD315" t="str">
            <v>Science</v>
          </cell>
          <cell r="AE315" t="str">
            <v>Brayate</v>
          </cell>
          <cell r="AF315" t="str">
            <v>Duhok</v>
          </cell>
          <cell r="AG315" t="str">
            <v>Hay Al-askary</v>
          </cell>
          <cell r="AH315">
            <v>75.400000000000006</v>
          </cell>
          <cell r="AK315">
            <v>75.400000000000006</v>
          </cell>
          <cell r="AM315">
            <v>75.400000000000006</v>
          </cell>
          <cell r="AP315">
            <v>1</v>
          </cell>
          <cell r="BG315">
            <v>1</v>
          </cell>
        </row>
        <row r="316">
          <cell r="D316" t="str">
            <v>A21600121</v>
          </cell>
          <cell r="E316" t="str">
            <v>Amad</v>
          </cell>
          <cell r="F316" t="str">
            <v>Musa</v>
          </cell>
          <cell r="G316" t="str">
            <v>Ali</v>
          </cell>
          <cell r="H316" t="str">
            <v>Male</v>
          </cell>
          <cell r="I316">
            <v>1995</v>
          </cell>
          <cell r="J316" t="str">
            <v>Kurdish</v>
          </cell>
          <cell r="K316" t="str">
            <v>0750 701 5628</v>
          </cell>
          <cell r="L316" t="str">
            <v>0750 389 6162</v>
          </cell>
          <cell r="N316" t="str">
            <v>No</v>
          </cell>
          <cell r="O316" t="str">
            <v>No</v>
          </cell>
          <cell r="P316" t="str">
            <v>Local</v>
          </cell>
          <cell r="Q316" t="str">
            <v>First Year</v>
          </cell>
          <cell r="R316" t="str">
            <v>Political Prisoner</v>
          </cell>
          <cell r="T316" t="str">
            <v>Pending</v>
          </cell>
          <cell r="V316" t="str">
            <v>Spring</v>
          </cell>
          <cell r="W316" t="str">
            <v>2016</v>
          </cell>
          <cell r="Z316" t="str">
            <v>High School</v>
          </cell>
          <cell r="AA316">
            <v>2015</v>
          </cell>
          <cell r="AE316" t="str">
            <v>Kawa</v>
          </cell>
          <cell r="AF316" t="str">
            <v>Duhok</v>
          </cell>
          <cell r="AG316" t="str">
            <v>Media St.</v>
          </cell>
          <cell r="AH316">
            <v>71.400000000000006</v>
          </cell>
          <cell r="AI316">
            <v>58</v>
          </cell>
          <cell r="AJ316">
            <v>62</v>
          </cell>
          <cell r="AK316">
            <v>71.400000000000006</v>
          </cell>
          <cell r="AL316">
            <v>3</v>
          </cell>
          <cell r="AM316">
            <v>74.400000000000006</v>
          </cell>
          <cell r="AP316">
            <v>2</v>
          </cell>
          <cell r="AQ316">
            <v>1</v>
          </cell>
        </row>
        <row r="317">
          <cell r="D317" t="str">
            <v>A21600122</v>
          </cell>
          <cell r="E317" t="str">
            <v>Zhiyan</v>
          </cell>
          <cell r="F317" t="str">
            <v>Yousif</v>
          </cell>
          <cell r="G317" t="str">
            <v>Abdullah</v>
          </cell>
          <cell r="H317" t="str">
            <v>Female</v>
          </cell>
          <cell r="I317">
            <v>1992</v>
          </cell>
          <cell r="J317" t="str">
            <v>Kurdish</v>
          </cell>
          <cell r="K317" t="str">
            <v>0750 474 4895</v>
          </cell>
          <cell r="L317" t="str">
            <v>0751 013 4403</v>
          </cell>
          <cell r="N317" t="str">
            <v>Yes</v>
          </cell>
          <cell r="O317" t="str">
            <v>No</v>
          </cell>
          <cell r="P317" t="str">
            <v>Local</v>
          </cell>
          <cell r="Q317" t="str">
            <v>First Year</v>
          </cell>
          <cell r="R317" t="str">
            <v>Martyr's Aid</v>
          </cell>
          <cell r="T317" t="str">
            <v>Accepted</v>
          </cell>
          <cell r="U317">
            <v>0</v>
          </cell>
          <cell r="V317" t="str">
            <v>Spring</v>
          </cell>
          <cell r="W317" t="str">
            <v>2016</v>
          </cell>
          <cell r="Z317" t="str">
            <v>High School</v>
          </cell>
          <cell r="AA317">
            <v>2012</v>
          </cell>
          <cell r="AB317">
            <v>3</v>
          </cell>
          <cell r="AC317">
            <v>2</v>
          </cell>
          <cell r="AD317" t="str">
            <v>Science</v>
          </cell>
          <cell r="AE317" t="str">
            <v>Layla Qasim</v>
          </cell>
          <cell r="AF317" t="str">
            <v>Duhok</v>
          </cell>
          <cell r="AG317" t="str">
            <v>Muhabad St.</v>
          </cell>
          <cell r="AH317">
            <v>56</v>
          </cell>
          <cell r="AK317">
            <v>56</v>
          </cell>
          <cell r="AM317">
            <v>56</v>
          </cell>
          <cell r="AP317">
            <v>2</v>
          </cell>
          <cell r="BG317">
            <v>1</v>
          </cell>
        </row>
        <row r="318">
          <cell r="D318" t="str">
            <v>A21600123</v>
          </cell>
          <cell r="E318" t="str">
            <v>Zeen</v>
          </cell>
          <cell r="F318" t="str">
            <v>Sarbast</v>
          </cell>
          <cell r="G318" t="str">
            <v>Diwali</v>
          </cell>
          <cell r="H318" t="str">
            <v>Female</v>
          </cell>
          <cell r="I318">
            <v>1995</v>
          </cell>
          <cell r="J318" t="str">
            <v>Kurdish</v>
          </cell>
          <cell r="K318" t="str">
            <v>0750 231 9898</v>
          </cell>
          <cell r="L318" t="str">
            <v>0750 458 8144</v>
          </cell>
          <cell r="N318" t="str">
            <v>No</v>
          </cell>
          <cell r="O318" t="str">
            <v>No</v>
          </cell>
          <cell r="P318" t="str">
            <v>Local</v>
          </cell>
          <cell r="Q318" t="str">
            <v>First Year</v>
          </cell>
          <cell r="R318" t="str">
            <v>Regular</v>
          </cell>
          <cell r="T318" t="str">
            <v>Accepted</v>
          </cell>
          <cell r="U318" t="str">
            <v>Withdraw</v>
          </cell>
          <cell r="V318" t="str">
            <v>Spring</v>
          </cell>
          <cell r="W318" t="str">
            <v>2016</v>
          </cell>
          <cell r="Z318" t="str">
            <v>High School</v>
          </cell>
          <cell r="AA318">
            <v>2015</v>
          </cell>
          <cell r="AD318" t="str">
            <v>Arts</v>
          </cell>
          <cell r="AE318" t="str">
            <v>Duhok</v>
          </cell>
          <cell r="AF318" t="str">
            <v>Duhok</v>
          </cell>
          <cell r="AG318" t="str">
            <v>Grebase</v>
          </cell>
          <cell r="AH318">
            <v>69.7</v>
          </cell>
          <cell r="AK318">
            <v>69.7</v>
          </cell>
          <cell r="AL318">
            <v>1</v>
          </cell>
          <cell r="AM318">
            <v>70.7</v>
          </cell>
          <cell r="AP318">
            <v>2</v>
          </cell>
          <cell r="BB318">
            <v>1</v>
          </cell>
        </row>
        <row r="319">
          <cell r="D319" t="str">
            <v>A21600124</v>
          </cell>
          <cell r="E319" t="str">
            <v>Abdur</v>
          </cell>
          <cell r="F319" t="str">
            <v>Rehman</v>
          </cell>
          <cell r="G319" t="str">
            <v>Tahir</v>
          </cell>
          <cell r="H319" t="str">
            <v>Male</v>
          </cell>
          <cell r="I319">
            <v>1996</v>
          </cell>
          <cell r="K319" t="str">
            <v>0750 445 7871</v>
          </cell>
          <cell r="N319" t="str">
            <v>No</v>
          </cell>
          <cell r="O319" t="str">
            <v>No</v>
          </cell>
          <cell r="P319" t="str">
            <v>International</v>
          </cell>
          <cell r="Q319" t="str">
            <v>First Year</v>
          </cell>
          <cell r="R319" t="str">
            <v>Regular</v>
          </cell>
          <cell r="T319" t="str">
            <v>Accepted</v>
          </cell>
          <cell r="U319">
            <v>0</v>
          </cell>
          <cell r="V319" t="str">
            <v>Spring</v>
          </cell>
          <cell r="W319" t="str">
            <v>2016</v>
          </cell>
          <cell r="Z319" t="str">
            <v>High School</v>
          </cell>
          <cell r="AA319">
            <v>2015</v>
          </cell>
          <cell r="AE319" t="str">
            <v>Niror College</v>
          </cell>
          <cell r="AF319" t="str">
            <v>Pakistan</v>
          </cell>
          <cell r="AH319">
            <v>72</v>
          </cell>
          <cell r="AK319">
            <v>72</v>
          </cell>
          <cell r="AM319">
            <v>72</v>
          </cell>
          <cell r="AP319">
            <v>8</v>
          </cell>
          <cell r="BB319">
            <v>1</v>
          </cell>
        </row>
        <row r="320">
          <cell r="D320" t="str">
            <v>A21600125</v>
          </cell>
          <cell r="E320" t="str">
            <v>Jumaah</v>
          </cell>
          <cell r="F320" t="str">
            <v>Shukri</v>
          </cell>
          <cell r="G320" t="str">
            <v>Waisi</v>
          </cell>
          <cell r="H320" t="str">
            <v>Male</v>
          </cell>
          <cell r="I320">
            <v>1982</v>
          </cell>
          <cell r="K320" t="str">
            <v>0750 468 7705</v>
          </cell>
          <cell r="L320" t="str">
            <v>0750 872 1263</v>
          </cell>
          <cell r="N320" t="str">
            <v>No</v>
          </cell>
          <cell r="O320" t="str">
            <v>No</v>
          </cell>
          <cell r="P320" t="str">
            <v>Local</v>
          </cell>
          <cell r="Q320" t="str">
            <v>First Year</v>
          </cell>
          <cell r="R320" t="str">
            <v>Regular</v>
          </cell>
          <cell r="T320" t="str">
            <v>Accepted</v>
          </cell>
          <cell r="U320" t="str">
            <v>Withdraw</v>
          </cell>
          <cell r="V320" t="str">
            <v>Spring</v>
          </cell>
          <cell r="W320" t="str">
            <v>2016</v>
          </cell>
          <cell r="Z320" t="str">
            <v>High School</v>
          </cell>
          <cell r="AA320">
            <v>2015</v>
          </cell>
          <cell r="AE320" t="str">
            <v>Kawa</v>
          </cell>
          <cell r="AF320" t="str">
            <v>Duhok</v>
          </cell>
          <cell r="AG320" t="str">
            <v>Baroshke</v>
          </cell>
          <cell r="AH320">
            <v>62.7</v>
          </cell>
          <cell r="AK320">
            <v>62.7</v>
          </cell>
          <cell r="AM320">
            <v>62.7</v>
          </cell>
          <cell r="AP320">
            <v>5</v>
          </cell>
          <cell r="BD320">
            <v>1</v>
          </cell>
        </row>
        <row r="321">
          <cell r="D321" t="str">
            <v>A21600126</v>
          </cell>
          <cell r="E321" t="str">
            <v>Ayad</v>
          </cell>
          <cell r="F321" t="str">
            <v>Ahmed</v>
          </cell>
          <cell r="G321" t="str">
            <v>Muslih</v>
          </cell>
          <cell r="H321" t="str">
            <v>Male</v>
          </cell>
          <cell r="I321">
            <v>1995</v>
          </cell>
          <cell r="J321" t="str">
            <v>Kurdish</v>
          </cell>
          <cell r="K321" t="str">
            <v>0750 719 8876</v>
          </cell>
          <cell r="N321" t="str">
            <v>Yes</v>
          </cell>
          <cell r="O321" t="str">
            <v>No</v>
          </cell>
          <cell r="P321" t="str">
            <v>Local</v>
          </cell>
          <cell r="Q321" t="str">
            <v>First Year</v>
          </cell>
          <cell r="R321" t="str">
            <v>Martyr's Aid</v>
          </cell>
          <cell r="T321" t="str">
            <v>Accepted</v>
          </cell>
          <cell r="U321">
            <v>0</v>
          </cell>
          <cell r="V321" t="str">
            <v>Spring</v>
          </cell>
          <cell r="W321" t="str">
            <v>2016</v>
          </cell>
          <cell r="Z321" t="str">
            <v>High School</v>
          </cell>
          <cell r="AA321">
            <v>2015</v>
          </cell>
          <cell r="AB321">
            <v>2</v>
          </cell>
          <cell r="AC321">
            <v>2</v>
          </cell>
          <cell r="AD321" t="str">
            <v>Science</v>
          </cell>
          <cell r="AE321" t="str">
            <v>Qasrok</v>
          </cell>
          <cell r="AF321" t="str">
            <v>Duhok</v>
          </cell>
          <cell r="AG321" t="str">
            <v>Qasrok</v>
          </cell>
          <cell r="AH321">
            <v>62</v>
          </cell>
          <cell r="AK321">
            <v>62</v>
          </cell>
          <cell r="AL321">
            <v>1</v>
          </cell>
          <cell r="AM321">
            <v>63</v>
          </cell>
          <cell r="AP321">
            <v>1</v>
          </cell>
          <cell r="BB321">
            <v>1</v>
          </cell>
        </row>
        <row r="322">
          <cell r="D322" t="str">
            <v>A21600127</v>
          </cell>
          <cell r="E322" t="str">
            <v>Saad</v>
          </cell>
          <cell r="F322" t="str">
            <v>Muath</v>
          </cell>
          <cell r="G322" t="str">
            <v>Salih</v>
          </cell>
          <cell r="H322" t="str">
            <v>Male</v>
          </cell>
          <cell r="K322" t="str">
            <v>0750 493 4714</v>
          </cell>
          <cell r="N322" t="str">
            <v>Yes</v>
          </cell>
          <cell r="O322" t="str">
            <v>Yes</v>
          </cell>
          <cell r="P322" t="str">
            <v>Local</v>
          </cell>
          <cell r="Q322" t="str">
            <v>First Year</v>
          </cell>
          <cell r="R322" t="str">
            <v>Martyr's Aid</v>
          </cell>
          <cell r="T322" t="str">
            <v>Accepted</v>
          </cell>
          <cell r="U322" t="str">
            <v>Withdraw</v>
          </cell>
          <cell r="V322" t="str">
            <v>Spring</v>
          </cell>
          <cell r="W322" t="str">
            <v>2016</v>
          </cell>
          <cell r="Z322" t="str">
            <v>High School</v>
          </cell>
          <cell r="AA322">
            <v>2015</v>
          </cell>
          <cell r="AE322" t="str">
            <v>Bakhtiyari</v>
          </cell>
          <cell r="AF322" t="str">
            <v>Duhok</v>
          </cell>
          <cell r="AG322" t="str">
            <v>Akre</v>
          </cell>
          <cell r="AH322">
            <v>63.7</v>
          </cell>
          <cell r="AI322">
            <v>58.17</v>
          </cell>
          <cell r="AJ322">
            <v>56.3</v>
          </cell>
          <cell r="AK322">
            <v>63.7</v>
          </cell>
          <cell r="AL322">
            <v>3</v>
          </cell>
          <cell r="AM322">
            <v>66.7</v>
          </cell>
          <cell r="AP322">
            <v>1</v>
          </cell>
          <cell r="AQ322">
            <v>1</v>
          </cell>
          <cell r="BJ322">
            <v>1</v>
          </cell>
        </row>
        <row r="323">
          <cell r="D323" t="str">
            <v>A21600128</v>
          </cell>
          <cell r="E323" t="str">
            <v>Amr</v>
          </cell>
          <cell r="F323" t="str">
            <v>Jameel</v>
          </cell>
          <cell r="G323" t="str">
            <v>MohammedSalih</v>
          </cell>
          <cell r="H323" t="str">
            <v>Male</v>
          </cell>
          <cell r="K323" t="str">
            <v>0750 327 2749</v>
          </cell>
          <cell r="N323" t="str">
            <v>No</v>
          </cell>
          <cell r="O323" t="str">
            <v>No</v>
          </cell>
          <cell r="P323" t="str">
            <v>Local</v>
          </cell>
          <cell r="Q323" t="str">
            <v>First Year</v>
          </cell>
          <cell r="R323" t="str">
            <v>Political Prisoner</v>
          </cell>
          <cell r="T323" t="str">
            <v>Pending</v>
          </cell>
          <cell r="V323" t="str">
            <v>Spring</v>
          </cell>
          <cell r="W323" t="str">
            <v>2016</v>
          </cell>
          <cell r="Z323" t="str">
            <v>High School</v>
          </cell>
          <cell r="AA323">
            <v>2014</v>
          </cell>
          <cell r="AE323" t="str">
            <v>Brayati</v>
          </cell>
          <cell r="AF323" t="str">
            <v>Duhok</v>
          </cell>
          <cell r="AG323" t="str">
            <v>Chra</v>
          </cell>
          <cell r="AH323">
            <v>59.5</v>
          </cell>
          <cell r="AK323">
            <v>59.5</v>
          </cell>
          <cell r="AL323">
            <v>1</v>
          </cell>
          <cell r="AM323">
            <v>60.5</v>
          </cell>
          <cell r="AP323">
            <v>0</v>
          </cell>
          <cell r="BG323">
            <v>1</v>
          </cell>
        </row>
        <row r="324">
          <cell r="D324" t="str">
            <v>A21600129</v>
          </cell>
          <cell r="E324" t="str">
            <v>Bayar</v>
          </cell>
          <cell r="F324" t="str">
            <v>Shukri</v>
          </cell>
          <cell r="G324" t="str">
            <v>Saleem</v>
          </cell>
          <cell r="H324" t="str">
            <v>Male</v>
          </cell>
          <cell r="I324">
            <v>1993</v>
          </cell>
          <cell r="J324" t="str">
            <v>Kurdish</v>
          </cell>
          <cell r="K324" t="str">
            <v>0750475 8476</v>
          </cell>
          <cell r="L324" t="str">
            <v>0750 411 3956</v>
          </cell>
          <cell r="N324" t="str">
            <v>No</v>
          </cell>
          <cell r="O324" t="str">
            <v>No</v>
          </cell>
          <cell r="P324" t="str">
            <v>Local</v>
          </cell>
          <cell r="Q324" t="str">
            <v>First Year</v>
          </cell>
          <cell r="R324" t="str">
            <v>Martyr's Aid</v>
          </cell>
          <cell r="T324" t="str">
            <v>Accepted</v>
          </cell>
          <cell r="U324">
            <v>0</v>
          </cell>
          <cell r="V324" t="str">
            <v>Spring</v>
          </cell>
          <cell r="W324" t="str">
            <v>2016</v>
          </cell>
          <cell r="Z324" t="str">
            <v>High School</v>
          </cell>
          <cell r="AA324">
            <v>2015</v>
          </cell>
          <cell r="AB324">
            <v>1</v>
          </cell>
          <cell r="AC324">
            <v>1</v>
          </cell>
          <cell r="AD324" t="str">
            <v>Science</v>
          </cell>
          <cell r="AE324" t="str">
            <v>Tanahi</v>
          </cell>
          <cell r="AF324" t="str">
            <v>Duhok</v>
          </cell>
          <cell r="AG324" t="str">
            <v>Tanahi</v>
          </cell>
          <cell r="AH324">
            <v>59.4</v>
          </cell>
          <cell r="AK324">
            <v>59.4</v>
          </cell>
          <cell r="AL324">
            <v>3</v>
          </cell>
          <cell r="AM324">
            <v>62.4</v>
          </cell>
          <cell r="AP324">
            <v>1</v>
          </cell>
          <cell r="AW324">
            <v>1</v>
          </cell>
        </row>
        <row r="325">
          <cell r="D325" t="str">
            <v>A21600130</v>
          </cell>
          <cell r="E325" t="str">
            <v>Hamza</v>
          </cell>
          <cell r="F325" t="str">
            <v>Sulaiman</v>
          </cell>
          <cell r="G325" t="str">
            <v>Rasheed</v>
          </cell>
          <cell r="H325" t="str">
            <v>Male</v>
          </cell>
          <cell r="I325">
            <v>1985</v>
          </cell>
          <cell r="J325" t="str">
            <v>Kurdish</v>
          </cell>
          <cell r="K325" t="str">
            <v>0750 458 5604</v>
          </cell>
          <cell r="L325" t="str">
            <v>0750 810 7715</v>
          </cell>
          <cell r="M325" t="str">
            <v>hamza.rashid@yahoo.com</v>
          </cell>
          <cell r="N325" t="str">
            <v>No</v>
          </cell>
          <cell r="O325" t="str">
            <v>No</v>
          </cell>
          <cell r="P325" t="str">
            <v>Local</v>
          </cell>
          <cell r="Q325" t="str">
            <v>First Year</v>
          </cell>
          <cell r="R325" t="str">
            <v>Martyr's Aid</v>
          </cell>
          <cell r="T325" t="str">
            <v>Accepted</v>
          </cell>
          <cell r="U325">
            <v>0</v>
          </cell>
          <cell r="V325" t="str">
            <v>Spring</v>
          </cell>
          <cell r="W325" t="str">
            <v>2016</v>
          </cell>
          <cell r="Z325" t="str">
            <v>High School</v>
          </cell>
          <cell r="AA325">
            <v>2007</v>
          </cell>
          <cell r="AB325">
            <v>2</v>
          </cell>
          <cell r="AC325">
            <v>2</v>
          </cell>
          <cell r="AD325" t="str">
            <v>Science</v>
          </cell>
          <cell r="AE325" t="str">
            <v>Sarsing</v>
          </cell>
          <cell r="AF325" t="str">
            <v>Duhok</v>
          </cell>
          <cell r="AG325" t="str">
            <v>Masik 2</v>
          </cell>
          <cell r="AH325">
            <v>63.7</v>
          </cell>
          <cell r="AK325">
            <v>63.7</v>
          </cell>
          <cell r="AM325">
            <v>63.7</v>
          </cell>
          <cell r="AP325">
            <v>1</v>
          </cell>
          <cell r="AT325">
            <v>1</v>
          </cell>
          <cell r="BG325">
            <v>2</v>
          </cell>
        </row>
        <row r="326">
          <cell r="D326" t="str">
            <v>A21600131</v>
          </cell>
          <cell r="E326" t="str">
            <v>Diyar</v>
          </cell>
          <cell r="F326" t="str">
            <v>Siaband</v>
          </cell>
          <cell r="G326" t="str">
            <v>Abbas</v>
          </cell>
          <cell r="H326" t="str">
            <v>Male</v>
          </cell>
          <cell r="I326">
            <v>1992</v>
          </cell>
          <cell r="J326" t="str">
            <v>Kurdish</v>
          </cell>
          <cell r="K326" t="str">
            <v>0750 490 0789</v>
          </cell>
          <cell r="L326" t="str">
            <v>0750 725 5226</v>
          </cell>
          <cell r="M326" t="str">
            <v>diyar.sabas@yahoo.com</v>
          </cell>
          <cell r="N326" t="str">
            <v>No</v>
          </cell>
          <cell r="O326" t="str">
            <v>No</v>
          </cell>
          <cell r="P326" t="str">
            <v>Local</v>
          </cell>
          <cell r="Q326" t="str">
            <v>First Year</v>
          </cell>
          <cell r="R326" t="str">
            <v>Regular</v>
          </cell>
          <cell r="T326" t="str">
            <v>Accepted</v>
          </cell>
          <cell r="U326">
            <v>0</v>
          </cell>
          <cell r="V326" t="str">
            <v>Spring</v>
          </cell>
          <cell r="W326" t="str">
            <v>2016</v>
          </cell>
          <cell r="Z326" t="str">
            <v>High School</v>
          </cell>
          <cell r="AA326">
            <v>2015</v>
          </cell>
          <cell r="AB326">
            <v>2</v>
          </cell>
          <cell r="AC326">
            <v>1</v>
          </cell>
          <cell r="AD326" t="str">
            <v>Arts</v>
          </cell>
          <cell r="AE326" t="str">
            <v>Chiya</v>
          </cell>
          <cell r="AF326" t="str">
            <v>Duhok</v>
          </cell>
          <cell r="AG326" t="str">
            <v>Takhe Media</v>
          </cell>
          <cell r="AH326">
            <v>65</v>
          </cell>
          <cell r="AI326">
            <v>59</v>
          </cell>
          <cell r="AJ326">
            <v>64</v>
          </cell>
          <cell r="AK326">
            <v>65</v>
          </cell>
          <cell r="AL326">
            <v>3</v>
          </cell>
          <cell r="AM326">
            <v>68</v>
          </cell>
          <cell r="AP326">
            <v>1</v>
          </cell>
          <cell r="BG326">
            <v>2</v>
          </cell>
          <cell r="BJ326">
            <v>1</v>
          </cell>
        </row>
        <row r="327">
          <cell r="D327" t="str">
            <v>A21600132</v>
          </cell>
          <cell r="E327" t="str">
            <v>Ahmed</v>
          </cell>
          <cell r="F327" t="str">
            <v>Adil</v>
          </cell>
          <cell r="G327" t="str">
            <v>Abdulqadir</v>
          </cell>
          <cell r="H327" t="str">
            <v>Male</v>
          </cell>
          <cell r="I327">
            <v>1998</v>
          </cell>
          <cell r="J327" t="str">
            <v>Kurdish</v>
          </cell>
          <cell r="K327" t="str">
            <v>0750 428 2515</v>
          </cell>
          <cell r="L327" t="str">
            <v>0750 457 2806</v>
          </cell>
          <cell r="N327" t="str">
            <v>No</v>
          </cell>
          <cell r="O327" t="str">
            <v>No</v>
          </cell>
          <cell r="P327" t="str">
            <v>Local</v>
          </cell>
          <cell r="Q327" t="str">
            <v>First Year</v>
          </cell>
          <cell r="R327" t="str">
            <v>Regular</v>
          </cell>
          <cell r="T327" t="str">
            <v>Accepted</v>
          </cell>
          <cell r="U327">
            <v>0</v>
          </cell>
          <cell r="V327" t="str">
            <v>Spring</v>
          </cell>
          <cell r="W327" t="str">
            <v>2016</v>
          </cell>
          <cell r="Z327" t="str">
            <v>High School</v>
          </cell>
          <cell r="AA327">
            <v>2015</v>
          </cell>
          <cell r="AB327">
            <v>1</v>
          </cell>
          <cell r="AC327">
            <v>2</v>
          </cell>
          <cell r="AD327" t="str">
            <v>Science</v>
          </cell>
          <cell r="AE327" t="str">
            <v>Zakho</v>
          </cell>
          <cell r="AF327" t="str">
            <v>Zakho</v>
          </cell>
          <cell r="AG327" t="str">
            <v>New Zakho</v>
          </cell>
          <cell r="AH327">
            <v>54.5</v>
          </cell>
          <cell r="AK327">
            <v>54.5</v>
          </cell>
          <cell r="AL327">
            <v>1</v>
          </cell>
          <cell r="AM327">
            <v>55.5</v>
          </cell>
          <cell r="AP327">
            <v>2</v>
          </cell>
          <cell r="BB327">
            <v>1</v>
          </cell>
        </row>
        <row r="328">
          <cell r="D328" t="str">
            <v>A21600133</v>
          </cell>
          <cell r="E328" t="str">
            <v>Mahmood</v>
          </cell>
          <cell r="F328" t="str">
            <v>Shawkat</v>
          </cell>
          <cell r="G328" t="str">
            <v>Mohammed</v>
          </cell>
          <cell r="H328" t="str">
            <v>Male</v>
          </cell>
          <cell r="I328">
            <v>1998</v>
          </cell>
          <cell r="J328" t="str">
            <v>Kurdish</v>
          </cell>
          <cell r="K328" t="str">
            <v>0750 444 6041</v>
          </cell>
          <cell r="L328" t="str">
            <v>0750 445 8316</v>
          </cell>
          <cell r="N328" t="str">
            <v>No</v>
          </cell>
          <cell r="O328" t="str">
            <v>No</v>
          </cell>
          <cell r="P328" t="str">
            <v>Local</v>
          </cell>
          <cell r="Q328" t="str">
            <v>First Year</v>
          </cell>
          <cell r="R328" t="str">
            <v>Regular</v>
          </cell>
          <cell r="T328" t="str">
            <v>Accepted</v>
          </cell>
          <cell r="U328">
            <v>0</v>
          </cell>
          <cell r="V328" t="str">
            <v>Spring</v>
          </cell>
          <cell r="W328" t="str">
            <v>2016</v>
          </cell>
          <cell r="Z328" t="str">
            <v>High School</v>
          </cell>
          <cell r="AA328">
            <v>2015</v>
          </cell>
          <cell r="AB328">
            <v>1</v>
          </cell>
          <cell r="AC328">
            <v>1</v>
          </cell>
          <cell r="AD328" t="str">
            <v>Science</v>
          </cell>
          <cell r="AE328" t="str">
            <v>Zakho</v>
          </cell>
          <cell r="AF328" t="str">
            <v>Zakho</v>
          </cell>
          <cell r="AG328" t="str">
            <v>Hussineke</v>
          </cell>
          <cell r="AH328">
            <v>66</v>
          </cell>
          <cell r="AK328">
            <v>66</v>
          </cell>
          <cell r="AL328">
            <v>3</v>
          </cell>
          <cell r="AM328">
            <v>69</v>
          </cell>
          <cell r="AP328">
            <v>1</v>
          </cell>
          <cell r="AW328">
            <v>1</v>
          </cell>
        </row>
        <row r="329">
          <cell r="D329" t="str">
            <v>A21600134</v>
          </cell>
          <cell r="E329" t="str">
            <v>Ahmed</v>
          </cell>
          <cell r="F329" t="str">
            <v>Essmat</v>
          </cell>
          <cell r="G329" t="str">
            <v>Mohammed</v>
          </cell>
          <cell r="H329" t="str">
            <v>Male</v>
          </cell>
          <cell r="I329">
            <v>1998</v>
          </cell>
          <cell r="K329" t="str">
            <v>0750 444 7291</v>
          </cell>
          <cell r="L329" t="str">
            <v>0750 457 6070</v>
          </cell>
          <cell r="N329" t="str">
            <v>No</v>
          </cell>
          <cell r="O329" t="str">
            <v>No</v>
          </cell>
          <cell r="P329" t="str">
            <v>Local</v>
          </cell>
          <cell r="Q329" t="str">
            <v>First Year</v>
          </cell>
          <cell r="R329" t="str">
            <v>Regular</v>
          </cell>
          <cell r="T329" t="str">
            <v>Accepted</v>
          </cell>
          <cell r="U329">
            <v>0</v>
          </cell>
          <cell r="V329" t="str">
            <v>Spring</v>
          </cell>
          <cell r="W329" t="str">
            <v>2016</v>
          </cell>
          <cell r="Z329" t="str">
            <v>High School</v>
          </cell>
          <cell r="AA329">
            <v>2015</v>
          </cell>
          <cell r="AB329">
            <v>1</v>
          </cell>
          <cell r="AC329">
            <v>1</v>
          </cell>
          <cell r="AD329" t="str">
            <v>Science</v>
          </cell>
          <cell r="AE329" t="str">
            <v>Zakho</v>
          </cell>
          <cell r="AF329" t="str">
            <v>Zakho</v>
          </cell>
          <cell r="AG329" t="str">
            <v>Hussineke</v>
          </cell>
          <cell r="AH329">
            <v>64</v>
          </cell>
          <cell r="AK329">
            <v>64</v>
          </cell>
          <cell r="AL329">
            <v>3</v>
          </cell>
          <cell r="AM329">
            <v>67</v>
          </cell>
          <cell r="AP329">
            <v>1</v>
          </cell>
          <cell r="AW329">
            <v>1</v>
          </cell>
        </row>
        <row r="330">
          <cell r="D330" t="str">
            <v>A21600135</v>
          </cell>
          <cell r="E330" t="str">
            <v>Bahzad</v>
          </cell>
          <cell r="F330" t="str">
            <v>Ismael</v>
          </cell>
          <cell r="G330" t="str">
            <v>Hussein</v>
          </cell>
          <cell r="H330" t="str">
            <v>Male</v>
          </cell>
          <cell r="I330">
            <v>1992</v>
          </cell>
          <cell r="J330" t="str">
            <v>Kurdish</v>
          </cell>
          <cell r="K330" t="str">
            <v>0750 920 1519</v>
          </cell>
          <cell r="L330" t="str">
            <v>0750 457 1519</v>
          </cell>
          <cell r="N330" t="str">
            <v>No</v>
          </cell>
          <cell r="O330" t="str">
            <v>No</v>
          </cell>
          <cell r="P330" t="str">
            <v>Local</v>
          </cell>
          <cell r="Q330" t="str">
            <v>First Year</v>
          </cell>
          <cell r="R330" t="str">
            <v>Martyr's Aid</v>
          </cell>
          <cell r="T330" t="str">
            <v>Accepted</v>
          </cell>
          <cell r="U330">
            <v>0</v>
          </cell>
          <cell r="V330" t="str">
            <v>Spring</v>
          </cell>
          <cell r="W330" t="str">
            <v>2016</v>
          </cell>
          <cell r="Z330" t="str">
            <v>High School</v>
          </cell>
          <cell r="AA330">
            <v>2015</v>
          </cell>
          <cell r="AB330">
            <v>3</v>
          </cell>
          <cell r="AC330">
            <v>2</v>
          </cell>
          <cell r="AD330" t="str">
            <v>Arts</v>
          </cell>
          <cell r="AE330" t="str">
            <v>Sheladze</v>
          </cell>
          <cell r="AF330" t="str">
            <v>Duhok</v>
          </cell>
          <cell r="AG330" t="str">
            <v>Sheladize</v>
          </cell>
          <cell r="AH330">
            <v>67</v>
          </cell>
          <cell r="AK330">
            <v>67</v>
          </cell>
          <cell r="AL330">
            <v>1</v>
          </cell>
          <cell r="AM330">
            <v>68</v>
          </cell>
          <cell r="AP330">
            <v>1</v>
          </cell>
          <cell r="BB330">
            <v>1</v>
          </cell>
          <cell r="BJ330">
            <v>2</v>
          </cell>
        </row>
        <row r="331">
          <cell r="D331" t="str">
            <v>A21600136</v>
          </cell>
          <cell r="E331" t="str">
            <v>Hussein</v>
          </cell>
          <cell r="F331" t="str">
            <v>Ahmed</v>
          </cell>
          <cell r="G331" t="str">
            <v>Mohammed</v>
          </cell>
          <cell r="H331" t="str">
            <v>Male</v>
          </cell>
          <cell r="I331">
            <v>1986</v>
          </cell>
          <cell r="J331" t="str">
            <v>Kurdish</v>
          </cell>
          <cell r="K331" t="str">
            <v>0750 472 4810</v>
          </cell>
          <cell r="L331" t="str">
            <v>0750 436 6339</v>
          </cell>
          <cell r="N331" t="str">
            <v>No</v>
          </cell>
          <cell r="O331" t="str">
            <v>No</v>
          </cell>
          <cell r="P331" t="str">
            <v>Local</v>
          </cell>
          <cell r="Q331" t="str">
            <v>First Year</v>
          </cell>
          <cell r="R331" t="str">
            <v>Martyr's Aid</v>
          </cell>
          <cell r="T331" t="str">
            <v>Accepted</v>
          </cell>
          <cell r="U331">
            <v>0</v>
          </cell>
          <cell r="V331" t="str">
            <v>Spring</v>
          </cell>
          <cell r="W331" t="str">
            <v>2016</v>
          </cell>
          <cell r="Z331" t="str">
            <v>High School</v>
          </cell>
          <cell r="AA331">
            <v>2015</v>
          </cell>
          <cell r="AB331">
            <v>1</v>
          </cell>
          <cell r="AC331">
            <v>2</v>
          </cell>
          <cell r="AD331" t="str">
            <v>Arts</v>
          </cell>
          <cell r="AE331" t="str">
            <v>Kora</v>
          </cell>
          <cell r="AF331" t="str">
            <v>Duhok</v>
          </cell>
          <cell r="AG331" t="str">
            <v>Masik 2</v>
          </cell>
          <cell r="AH331">
            <v>56</v>
          </cell>
          <cell r="AK331">
            <v>56</v>
          </cell>
          <cell r="AM331">
            <v>56</v>
          </cell>
          <cell r="AP331">
            <v>1</v>
          </cell>
          <cell r="BB331">
            <v>2</v>
          </cell>
          <cell r="BG331">
            <v>1</v>
          </cell>
        </row>
        <row r="332">
          <cell r="D332" t="str">
            <v>A21600137</v>
          </cell>
          <cell r="E332" t="str">
            <v>Khalid</v>
          </cell>
          <cell r="F332" t="str">
            <v>Abdulmalek</v>
          </cell>
          <cell r="G332" t="str">
            <v>Marwan</v>
          </cell>
          <cell r="H332" t="str">
            <v>Male</v>
          </cell>
          <cell r="I332">
            <v>1995</v>
          </cell>
          <cell r="J332" t="str">
            <v>Kurdish</v>
          </cell>
          <cell r="K332" t="str">
            <v>0750 409 6699</v>
          </cell>
          <cell r="L332" t="str">
            <v>0750 445 0453</v>
          </cell>
          <cell r="N332" t="str">
            <v>No</v>
          </cell>
          <cell r="O332" t="str">
            <v>No</v>
          </cell>
          <cell r="P332" t="str">
            <v>Local</v>
          </cell>
          <cell r="Q332" t="str">
            <v>First Year</v>
          </cell>
          <cell r="R332" t="str">
            <v>Regular</v>
          </cell>
          <cell r="T332" t="str">
            <v>Accepted</v>
          </cell>
          <cell r="U332">
            <v>0</v>
          </cell>
          <cell r="V332" t="str">
            <v>Spring</v>
          </cell>
          <cell r="W332" t="str">
            <v>2016</v>
          </cell>
          <cell r="Z332" t="str">
            <v>High School</v>
          </cell>
          <cell r="AA332">
            <v>2015</v>
          </cell>
          <cell r="AC332">
            <v>2</v>
          </cell>
          <cell r="AD332" t="str">
            <v>Science</v>
          </cell>
          <cell r="AE332" t="str">
            <v>Taakhi</v>
          </cell>
          <cell r="AF332" t="str">
            <v>Duhok</v>
          </cell>
          <cell r="AG332" t="str">
            <v>K.R.O</v>
          </cell>
          <cell r="AH332">
            <v>61</v>
          </cell>
          <cell r="AK332">
            <v>61</v>
          </cell>
          <cell r="AL332">
            <v>1</v>
          </cell>
          <cell r="AM332">
            <v>62</v>
          </cell>
          <cell r="BJ332">
            <v>1</v>
          </cell>
          <cell r="BK332">
            <v>2</v>
          </cell>
        </row>
        <row r="333">
          <cell r="D333" t="str">
            <v>A21600138</v>
          </cell>
          <cell r="E333" t="str">
            <v>Baravan</v>
          </cell>
          <cell r="F333" t="str">
            <v>Salman</v>
          </cell>
          <cell r="G333" t="str">
            <v>Mirkhan</v>
          </cell>
          <cell r="H333" t="str">
            <v>Male</v>
          </cell>
          <cell r="I333">
            <v>1987</v>
          </cell>
          <cell r="J333" t="str">
            <v>Kurdish</v>
          </cell>
          <cell r="K333" t="str">
            <v>0750 426 3126</v>
          </cell>
          <cell r="L333" t="str">
            <v>0750 495 4705</v>
          </cell>
          <cell r="N333" t="str">
            <v>No</v>
          </cell>
          <cell r="O333" t="str">
            <v>No</v>
          </cell>
          <cell r="P333" t="str">
            <v>Local</v>
          </cell>
          <cell r="Q333" t="str">
            <v>First Year</v>
          </cell>
          <cell r="R333" t="str">
            <v>Martyr's Aid</v>
          </cell>
          <cell r="T333" t="str">
            <v>Accepted</v>
          </cell>
          <cell r="U333">
            <v>0</v>
          </cell>
          <cell r="V333" t="str">
            <v>Spring</v>
          </cell>
          <cell r="W333" t="str">
            <v>2016</v>
          </cell>
          <cell r="Z333" t="str">
            <v>High School</v>
          </cell>
          <cell r="AA333">
            <v>2013</v>
          </cell>
          <cell r="AE333" t="str">
            <v>Sheladze</v>
          </cell>
          <cell r="AF333" t="str">
            <v>Duhok</v>
          </cell>
          <cell r="AG333" t="str">
            <v>Amedi</v>
          </cell>
          <cell r="AH333">
            <v>56</v>
          </cell>
          <cell r="AK333">
            <v>56</v>
          </cell>
          <cell r="AM333">
            <v>56</v>
          </cell>
          <cell r="AP333">
            <v>1</v>
          </cell>
          <cell r="AZ333">
            <v>2</v>
          </cell>
          <cell r="BA333">
            <v>3</v>
          </cell>
          <cell r="BB333">
            <v>1</v>
          </cell>
        </row>
        <row r="334">
          <cell r="D334" t="str">
            <v>A21600139</v>
          </cell>
          <cell r="E334" t="str">
            <v>Hasan</v>
          </cell>
          <cell r="F334" t="str">
            <v>Mohammed</v>
          </cell>
          <cell r="G334" t="str">
            <v>Taher Kareem</v>
          </cell>
          <cell r="H334" t="str">
            <v>Male</v>
          </cell>
          <cell r="I334">
            <v>1997</v>
          </cell>
          <cell r="K334" t="str">
            <v>0750 730 9619</v>
          </cell>
          <cell r="L334" t="str">
            <v>0750 472 1930</v>
          </cell>
          <cell r="N334" t="str">
            <v>No</v>
          </cell>
          <cell r="O334" t="str">
            <v>No</v>
          </cell>
          <cell r="P334" t="str">
            <v>Local</v>
          </cell>
          <cell r="Q334" t="str">
            <v>First Year</v>
          </cell>
          <cell r="R334" t="str">
            <v>Martyr's Aid</v>
          </cell>
          <cell r="T334" t="str">
            <v>Accepted</v>
          </cell>
          <cell r="U334">
            <v>0</v>
          </cell>
          <cell r="V334" t="str">
            <v>Spring</v>
          </cell>
          <cell r="W334" t="str">
            <v>2016</v>
          </cell>
          <cell r="Z334" t="str">
            <v>High School</v>
          </cell>
          <cell r="AA334">
            <v>2015</v>
          </cell>
          <cell r="AE334" t="str">
            <v>Zinda</v>
          </cell>
          <cell r="AF334" t="str">
            <v>Zakho</v>
          </cell>
          <cell r="AG334" t="str">
            <v>Azadi</v>
          </cell>
          <cell r="AH334">
            <v>67</v>
          </cell>
          <cell r="AK334">
            <v>67</v>
          </cell>
          <cell r="AL334">
            <v>1</v>
          </cell>
          <cell r="AM334">
            <v>68</v>
          </cell>
          <cell r="AP334">
            <v>1</v>
          </cell>
          <cell r="BG334">
            <v>1</v>
          </cell>
        </row>
        <row r="335">
          <cell r="D335" t="str">
            <v>A21600140</v>
          </cell>
          <cell r="E335" t="str">
            <v>Shahrivan</v>
          </cell>
          <cell r="F335" t="str">
            <v>Saadi</v>
          </cell>
          <cell r="G335" t="str">
            <v>Mustafa</v>
          </cell>
          <cell r="H335" t="str">
            <v>Female</v>
          </cell>
          <cell r="I335">
            <v>1995</v>
          </cell>
          <cell r="K335" t="str">
            <v>0750 440 7678</v>
          </cell>
          <cell r="L335" t="str">
            <v>0750 703 5611</v>
          </cell>
          <cell r="N335" t="str">
            <v>No</v>
          </cell>
          <cell r="O335" t="str">
            <v>No</v>
          </cell>
          <cell r="P335" t="str">
            <v>Local</v>
          </cell>
          <cell r="Q335" t="str">
            <v>First Year</v>
          </cell>
          <cell r="R335" t="str">
            <v>Political Prisoner</v>
          </cell>
          <cell r="T335" t="str">
            <v>Pending</v>
          </cell>
          <cell r="V335" t="str">
            <v>Spring</v>
          </cell>
          <cell r="W335" t="str">
            <v>2016</v>
          </cell>
          <cell r="Z335" t="str">
            <v>High School</v>
          </cell>
          <cell r="AA335">
            <v>2015</v>
          </cell>
          <cell r="AE335" t="str">
            <v>Kazheen</v>
          </cell>
          <cell r="AF335" t="str">
            <v>Duhok</v>
          </cell>
          <cell r="AG335" t="str">
            <v>Malta</v>
          </cell>
          <cell r="AH335">
            <v>56.5</v>
          </cell>
          <cell r="AI335">
            <v>65.75</v>
          </cell>
          <cell r="AJ335">
            <v>73.2</v>
          </cell>
          <cell r="AK335">
            <v>59.094999999999999</v>
          </cell>
          <cell r="AL335">
            <v>1</v>
          </cell>
          <cell r="AM335">
            <v>60.094999999999999</v>
          </cell>
          <cell r="AP335">
            <v>2</v>
          </cell>
          <cell r="AZ335">
            <v>1</v>
          </cell>
        </row>
        <row r="336">
          <cell r="D336" t="str">
            <v>A21600141</v>
          </cell>
          <cell r="E336" t="str">
            <v>Sagvan</v>
          </cell>
          <cell r="F336" t="str">
            <v>Ahmed</v>
          </cell>
          <cell r="G336" t="str">
            <v>Abdullah</v>
          </cell>
          <cell r="H336" t="str">
            <v>Male</v>
          </cell>
          <cell r="I336">
            <v>1993</v>
          </cell>
          <cell r="J336" t="str">
            <v>Kurdish</v>
          </cell>
          <cell r="K336" t="str">
            <v>0750 451 8855</v>
          </cell>
          <cell r="L336" t="str">
            <v>0750 198 0674</v>
          </cell>
          <cell r="N336" t="str">
            <v>No</v>
          </cell>
          <cell r="O336" t="str">
            <v>No</v>
          </cell>
          <cell r="P336" t="str">
            <v>Local</v>
          </cell>
          <cell r="Q336" t="str">
            <v>First Year</v>
          </cell>
          <cell r="R336" t="str">
            <v>Martyr's Aid</v>
          </cell>
          <cell r="T336" t="str">
            <v>Accepted</v>
          </cell>
          <cell r="U336">
            <v>0</v>
          </cell>
          <cell r="V336" t="str">
            <v>Spring</v>
          </cell>
          <cell r="W336" t="str">
            <v>2016</v>
          </cell>
          <cell r="Z336" t="str">
            <v>High School</v>
          </cell>
          <cell r="AA336">
            <v>2015</v>
          </cell>
          <cell r="AB336">
            <v>2</v>
          </cell>
          <cell r="AC336">
            <v>2</v>
          </cell>
          <cell r="AD336" t="str">
            <v>Science</v>
          </cell>
          <cell r="AE336" t="str">
            <v>SadiqBahaadeen</v>
          </cell>
          <cell r="AF336" t="str">
            <v>Duhok</v>
          </cell>
          <cell r="AG336" t="str">
            <v>Grebase</v>
          </cell>
          <cell r="AH336">
            <v>56</v>
          </cell>
          <cell r="AK336">
            <v>56</v>
          </cell>
          <cell r="AL336">
            <v>1</v>
          </cell>
          <cell r="AM336">
            <v>57</v>
          </cell>
          <cell r="BG336">
            <v>1</v>
          </cell>
        </row>
        <row r="337">
          <cell r="D337" t="str">
            <v>A21600142</v>
          </cell>
          <cell r="E337" t="str">
            <v>Sarhan</v>
          </cell>
          <cell r="F337" t="str">
            <v>Ibrahim</v>
          </cell>
          <cell r="G337" t="str">
            <v>Khishman</v>
          </cell>
          <cell r="H337" t="str">
            <v>Male</v>
          </cell>
          <cell r="I337">
            <v>1995</v>
          </cell>
          <cell r="J337" t="str">
            <v>Kurdish</v>
          </cell>
          <cell r="K337" t="str">
            <v>0750 811 3103</v>
          </cell>
          <cell r="L337" t="str">
            <v>0750 443 4379</v>
          </cell>
          <cell r="N337" t="str">
            <v>No</v>
          </cell>
          <cell r="O337" t="str">
            <v>No</v>
          </cell>
          <cell r="P337" t="str">
            <v>Local</v>
          </cell>
          <cell r="Q337" t="str">
            <v>First Year</v>
          </cell>
          <cell r="R337" t="str">
            <v>Regular</v>
          </cell>
          <cell r="T337" t="str">
            <v>Accepted</v>
          </cell>
          <cell r="U337">
            <v>0</v>
          </cell>
          <cell r="V337" t="str">
            <v>Spring</v>
          </cell>
          <cell r="W337" t="str">
            <v>2016</v>
          </cell>
          <cell r="Z337" t="str">
            <v>High School</v>
          </cell>
          <cell r="AA337">
            <v>2015</v>
          </cell>
          <cell r="AB337">
            <v>2</v>
          </cell>
          <cell r="AC337">
            <v>2</v>
          </cell>
          <cell r="AD337" t="str">
            <v>Arts</v>
          </cell>
          <cell r="AE337" t="str">
            <v>Khanke</v>
          </cell>
          <cell r="AF337" t="str">
            <v>Duhok</v>
          </cell>
          <cell r="AG337" t="str">
            <v>Sumel</v>
          </cell>
          <cell r="AH337">
            <v>66</v>
          </cell>
          <cell r="AK337">
            <v>66</v>
          </cell>
          <cell r="AL337">
            <v>1</v>
          </cell>
          <cell r="AM337">
            <v>67</v>
          </cell>
          <cell r="AP337">
            <v>2</v>
          </cell>
          <cell r="BG337">
            <v>2</v>
          </cell>
          <cell r="BJ337">
            <v>1</v>
          </cell>
        </row>
        <row r="338">
          <cell r="D338" t="str">
            <v>A21600143</v>
          </cell>
          <cell r="E338" t="str">
            <v>Bewar</v>
          </cell>
          <cell r="F338" t="str">
            <v>Haji</v>
          </cell>
          <cell r="G338" t="str">
            <v>Salih</v>
          </cell>
          <cell r="H338" t="str">
            <v>Male</v>
          </cell>
          <cell r="I338">
            <v>1993</v>
          </cell>
          <cell r="J338" t="str">
            <v>Kurdish</v>
          </cell>
          <cell r="K338" t="str">
            <v>0750 457 3792</v>
          </cell>
          <cell r="L338" t="str">
            <v>0750 404 5481</v>
          </cell>
          <cell r="N338" t="str">
            <v>No</v>
          </cell>
          <cell r="O338" t="str">
            <v>No</v>
          </cell>
          <cell r="P338" t="str">
            <v>Local</v>
          </cell>
          <cell r="Q338" t="str">
            <v>First Year</v>
          </cell>
          <cell r="R338" t="str">
            <v>Martyr's Aid</v>
          </cell>
          <cell r="T338" t="str">
            <v>Accepted</v>
          </cell>
          <cell r="U338">
            <v>0</v>
          </cell>
          <cell r="V338" t="str">
            <v>Spring</v>
          </cell>
          <cell r="W338" t="str">
            <v>2016</v>
          </cell>
          <cell r="Z338" t="str">
            <v>High School</v>
          </cell>
          <cell r="AA338">
            <v>2010</v>
          </cell>
          <cell r="AC338">
            <v>1</v>
          </cell>
          <cell r="AD338" t="str">
            <v>Arts</v>
          </cell>
          <cell r="AE338" t="str">
            <v>Home School</v>
          </cell>
          <cell r="AF338" t="str">
            <v>Duhok</v>
          </cell>
          <cell r="AG338" t="str">
            <v>Malta</v>
          </cell>
          <cell r="AH338">
            <v>63</v>
          </cell>
          <cell r="AK338">
            <v>63</v>
          </cell>
          <cell r="AM338">
            <v>63</v>
          </cell>
          <cell r="AP338">
            <v>1</v>
          </cell>
          <cell r="BJ338">
            <v>1</v>
          </cell>
        </row>
        <row r="339">
          <cell r="D339" t="str">
            <v>A21600144</v>
          </cell>
          <cell r="E339" t="str">
            <v>Rebaz</v>
          </cell>
          <cell r="F339" t="str">
            <v>Sarbast</v>
          </cell>
          <cell r="G339" t="str">
            <v>Omer</v>
          </cell>
          <cell r="H339" t="str">
            <v>Male</v>
          </cell>
          <cell r="K339" t="str">
            <v>0750 447 4751</v>
          </cell>
          <cell r="L339" t="str">
            <v>0750 488 3233</v>
          </cell>
          <cell r="N339" t="str">
            <v>No</v>
          </cell>
          <cell r="O339" t="str">
            <v>No</v>
          </cell>
          <cell r="P339" t="str">
            <v>Local</v>
          </cell>
          <cell r="Q339" t="str">
            <v>First Year</v>
          </cell>
          <cell r="R339" t="str">
            <v>Political Prisoner</v>
          </cell>
          <cell r="T339" t="str">
            <v>Pending</v>
          </cell>
          <cell r="V339" t="str">
            <v>Spring</v>
          </cell>
          <cell r="W339" t="str">
            <v>2016</v>
          </cell>
          <cell r="Z339" t="str">
            <v>High School</v>
          </cell>
          <cell r="AA339">
            <v>2014</v>
          </cell>
          <cell r="AE339" t="str">
            <v>Dastor</v>
          </cell>
          <cell r="AF339" t="str">
            <v>Duhok</v>
          </cell>
          <cell r="AH339">
            <v>59</v>
          </cell>
          <cell r="AK339">
            <v>59</v>
          </cell>
          <cell r="AM339">
            <v>59</v>
          </cell>
          <cell r="AP339">
            <v>1</v>
          </cell>
          <cell r="BG339">
            <v>1</v>
          </cell>
        </row>
        <row r="340">
          <cell r="D340" t="str">
            <v>A21600145</v>
          </cell>
          <cell r="E340" t="str">
            <v>Kazheen</v>
          </cell>
          <cell r="F340" t="str">
            <v>Dawod</v>
          </cell>
          <cell r="G340" t="str">
            <v>Ramadhan</v>
          </cell>
          <cell r="H340" t="str">
            <v>Female</v>
          </cell>
          <cell r="I340">
            <v>1997</v>
          </cell>
          <cell r="J340" t="str">
            <v>Kurdish</v>
          </cell>
          <cell r="K340" t="str">
            <v>0750 888 2818</v>
          </cell>
          <cell r="L340" t="str">
            <v>0750 434 9777</v>
          </cell>
          <cell r="N340" t="str">
            <v>No</v>
          </cell>
          <cell r="O340" t="str">
            <v>No</v>
          </cell>
          <cell r="P340" t="str">
            <v>Local</v>
          </cell>
          <cell r="Q340" t="str">
            <v>First Year</v>
          </cell>
          <cell r="R340" t="str">
            <v>Regular</v>
          </cell>
          <cell r="T340" t="str">
            <v>Accepted</v>
          </cell>
          <cell r="U340">
            <v>0</v>
          </cell>
          <cell r="V340" t="str">
            <v>Spring</v>
          </cell>
          <cell r="W340" t="str">
            <v>2016</v>
          </cell>
          <cell r="Z340" t="str">
            <v>High School</v>
          </cell>
          <cell r="AA340">
            <v>2015</v>
          </cell>
          <cell r="AB340">
            <v>1</v>
          </cell>
          <cell r="AC340">
            <v>2</v>
          </cell>
          <cell r="AD340" t="str">
            <v>Science</v>
          </cell>
          <cell r="AE340" t="str">
            <v>Safin</v>
          </cell>
          <cell r="AF340" t="str">
            <v>Duhok</v>
          </cell>
          <cell r="AG340" t="str">
            <v>Shindokha</v>
          </cell>
          <cell r="AH340">
            <v>62</v>
          </cell>
          <cell r="AK340">
            <v>62</v>
          </cell>
          <cell r="AL340">
            <v>1</v>
          </cell>
          <cell r="AM340">
            <v>63</v>
          </cell>
          <cell r="AP340">
            <v>1</v>
          </cell>
          <cell r="AW340">
            <v>1</v>
          </cell>
        </row>
        <row r="341">
          <cell r="D341" t="str">
            <v>A21600146</v>
          </cell>
          <cell r="E341" t="str">
            <v>Diyar</v>
          </cell>
          <cell r="F341" t="str">
            <v>Ali</v>
          </cell>
          <cell r="G341" t="str">
            <v>Tili</v>
          </cell>
          <cell r="H341" t="str">
            <v>Male</v>
          </cell>
          <cell r="I341">
            <v>1995</v>
          </cell>
          <cell r="J341" t="str">
            <v>Kurdish</v>
          </cell>
          <cell r="K341" t="str">
            <v>0750 422 6461</v>
          </cell>
          <cell r="L341" t="str">
            <v>0750 782 7007</v>
          </cell>
          <cell r="N341" t="str">
            <v>No</v>
          </cell>
          <cell r="O341" t="str">
            <v>No</v>
          </cell>
          <cell r="P341" t="str">
            <v>Local</v>
          </cell>
          <cell r="Q341" t="str">
            <v>First Year</v>
          </cell>
          <cell r="R341" t="str">
            <v>Regular</v>
          </cell>
          <cell r="T341" t="str">
            <v>Accepted</v>
          </cell>
          <cell r="U341">
            <v>0</v>
          </cell>
          <cell r="V341" t="str">
            <v>Spring</v>
          </cell>
          <cell r="W341" t="str">
            <v>2016</v>
          </cell>
          <cell r="Z341" t="str">
            <v>High School</v>
          </cell>
          <cell r="AA341">
            <v>2015</v>
          </cell>
          <cell r="AB341">
            <v>3</v>
          </cell>
          <cell r="AC341">
            <v>2</v>
          </cell>
          <cell r="AD341" t="str">
            <v>Science</v>
          </cell>
          <cell r="AE341" t="str">
            <v>Brayate</v>
          </cell>
          <cell r="AF341" t="str">
            <v>Duhok</v>
          </cell>
          <cell r="AG341" t="str">
            <v>Ronahi</v>
          </cell>
          <cell r="AH341">
            <v>78</v>
          </cell>
          <cell r="AI341">
            <v>87.5</v>
          </cell>
          <cell r="AJ341">
            <v>87</v>
          </cell>
          <cell r="AK341">
            <v>79.850000000000009</v>
          </cell>
          <cell r="AL341">
            <v>1</v>
          </cell>
          <cell r="AM341">
            <v>80.850000000000009</v>
          </cell>
          <cell r="AP341">
            <v>5</v>
          </cell>
          <cell r="BI341">
            <v>1</v>
          </cell>
        </row>
        <row r="342">
          <cell r="D342" t="str">
            <v>A21600147</v>
          </cell>
          <cell r="E342" t="str">
            <v>Sarfaraz</v>
          </cell>
          <cell r="F342" t="str">
            <v>Mohammed</v>
          </cell>
          <cell r="G342" t="str">
            <v>Hassan</v>
          </cell>
          <cell r="H342" t="str">
            <v>Male</v>
          </cell>
          <cell r="K342" t="str">
            <v>0750 722 4251</v>
          </cell>
          <cell r="N342" t="str">
            <v>No</v>
          </cell>
          <cell r="O342" t="str">
            <v>No</v>
          </cell>
          <cell r="P342" t="str">
            <v>Local</v>
          </cell>
          <cell r="Q342" t="str">
            <v>First Year</v>
          </cell>
          <cell r="R342" t="str">
            <v>Political Prisoner</v>
          </cell>
          <cell r="T342" t="str">
            <v>Accepted</v>
          </cell>
          <cell r="V342" t="str">
            <v>Spring</v>
          </cell>
          <cell r="W342" t="str">
            <v>2016</v>
          </cell>
          <cell r="Z342" t="str">
            <v>High School</v>
          </cell>
          <cell r="AA342">
            <v>2015</v>
          </cell>
          <cell r="AE342" t="str">
            <v>Girsheen</v>
          </cell>
          <cell r="AF342" t="str">
            <v>Duhok</v>
          </cell>
          <cell r="AH342">
            <v>58.8</v>
          </cell>
          <cell r="AK342">
            <v>58.8</v>
          </cell>
          <cell r="AL342">
            <v>1</v>
          </cell>
          <cell r="AM342">
            <v>59.8</v>
          </cell>
          <cell r="AP342">
            <v>1</v>
          </cell>
        </row>
        <row r="343">
          <cell r="D343" t="str">
            <v>A21600148</v>
          </cell>
          <cell r="E343" t="str">
            <v>Omed</v>
          </cell>
          <cell r="F343" t="str">
            <v>Fadhil</v>
          </cell>
          <cell r="G343" t="str">
            <v>Islam</v>
          </cell>
          <cell r="H343" t="str">
            <v>Male</v>
          </cell>
          <cell r="I343">
            <v>1991</v>
          </cell>
          <cell r="J343" t="str">
            <v>Kurdish</v>
          </cell>
          <cell r="K343" t="str">
            <v>0751 272 6148</v>
          </cell>
          <cell r="N343" t="str">
            <v>No</v>
          </cell>
          <cell r="O343" t="str">
            <v>No</v>
          </cell>
          <cell r="P343" t="str">
            <v>Local</v>
          </cell>
          <cell r="Q343" t="str">
            <v>First Year</v>
          </cell>
          <cell r="R343" t="str">
            <v>Martyr's Aid</v>
          </cell>
          <cell r="T343" t="str">
            <v>Accepted</v>
          </cell>
          <cell r="U343">
            <v>0</v>
          </cell>
          <cell r="V343" t="str">
            <v>Spring</v>
          </cell>
          <cell r="W343" t="str">
            <v>2016</v>
          </cell>
          <cell r="Z343" t="str">
            <v>High School</v>
          </cell>
          <cell r="AA343">
            <v>2012</v>
          </cell>
          <cell r="AC343">
            <v>2</v>
          </cell>
          <cell r="AD343" t="str">
            <v>Arts</v>
          </cell>
          <cell r="AE343" t="str">
            <v>Brayate</v>
          </cell>
          <cell r="AF343" t="str">
            <v>Duhok</v>
          </cell>
          <cell r="AH343">
            <v>69</v>
          </cell>
          <cell r="AK343">
            <v>69</v>
          </cell>
          <cell r="AM343">
            <v>69</v>
          </cell>
          <cell r="AP343">
            <v>2</v>
          </cell>
          <cell r="BJ343">
            <v>1</v>
          </cell>
        </row>
        <row r="344">
          <cell r="D344" t="str">
            <v>A21600149</v>
          </cell>
          <cell r="E344" t="str">
            <v>Imran</v>
          </cell>
          <cell r="F344" t="str">
            <v>Sarmad</v>
          </cell>
          <cell r="G344" t="str">
            <v>Kawkab</v>
          </cell>
          <cell r="H344" t="str">
            <v>Male</v>
          </cell>
          <cell r="I344">
            <v>1997</v>
          </cell>
          <cell r="J344" t="str">
            <v>Arab</v>
          </cell>
          <cell r="K344" t="str">
            <v>0750 339 0732</v>
          </cell>
          <cell r="L344" t="str">
            <v>0750 162 2592</v>
          </cell>
          <cell r="N344" t="str">
            <v>No</v>
          </cell>
          <cell r="O344" t="str">
            <v>No</v>
          </cell>
          <cell r="P344" t="str">
            <v>Local</v>
          </cell>
          <cell r="Q344" t="str">
            <v>First Year</v>
          </cell>
          <cell r="R344" t="str">
            <v>Regular</v>
          </cell>
          <cell r="T344" t="str">
            <v>Accepted</v>
          </cell>
          <cell r="U344" t="str">
            <v>Withdraw</v>
          </cell>
          <cell r="V344" t="str">
            <v>Spring</v>
          </cell>
          <cell r="W344" t="str">
            <v>2016</v>
          </cell>
          <cell r="Z344" t="str">
            <v>High School</v>
          </cell>
          <cell r="AA344">
            <v>2015</v>
          </cell>
          <cell r="AE344" t="str">
            <v>Newroz</v>
          </cell>
          <cell r="AF344" t="str">
            <v>Duhok</v>
          </cell>
          <cell r="AG344" t="str">
            <v>Avro City</v>
          </cell>
          <cell r="AH344">
            <v>75.5</v>
          </cell>
          <cell r="AK344">
            <v>75.5</v>
          </cell>
          <cell r="AM344">
            <v>75.5</v>
          </cell>
          <cell r="AW344">
            <v>1</v>
          </cell>
        </row>
        <row r="345">
          <cell r="D345" t="str">
            <v>A21600150</v>
          </cell>
          <cell r="E345" t="str">
            <v>Mateen</v>
          </cell>
          <cell r="F345" t="str">
            <v>Qaher</v>
          </cell>
          <cell r="G345" t="str">
            <v>Ameen</v>
          </cell>
          <cell r="H345" t="str">
            <v>Male</v>
          </cell>
          <cell r="I345">
            <v>1997</v>
          </cell>
          <cell r="K345" t="str">
            <v>0750 385 6358</v>
          </cell>
          <cell r="L345" t="str">
            <v>0750 478 2224</v>
          </cell>
          <cell r="N345" t="str">
            <v>No</v>
          </cell>
          <cell r="O345" t="str">
            <v>No</v>
          </cell>
          <cell r="P345" t="str">
            <v>Local</v>
          </cell>
          <cell r="Q345" t="str">
            <v>First Year</v>
          </cell>
          <cell r="R345" t="str">
            <v>Martyr's Aid</v>
          </cell>
          <cell r="T345" t="str">
            <v>Accepted</v>
          </cell>
          <cell r="U345" t="str">
            <v>Withdraw</v>
          </cell>
          <cell r="V345" t="str">
            <v>Spring</v>
          </cell>
          <cell r="W345" t="str">
            <v>2016</v>
          </cell>
          <cell r="Z345" t="str">
            <v>High School</v>
          </cell>
          <cell r="AA345">
            <v>2015</v>
          </cell>
          <cell r="AE345" t="str">
            <v>Ribar</v>
          </cell>
          <cell r="AF345" t="str">
            <v>Duhok</v>
          </cell>
          <cell r="AG345" t="str">
            <v>Amedi</v>
          </cell>
          <cell r="AH345">
            <v>86</v>
          </cell>
          <cell r="AI345">
            <v>87</v>
          </cell>
          <cell r="AJ345">
            <v>89.6</v>
          </cell>
          <cell r="AK345">
            <v>86.46</v>
          </cell>
          <cell r="AL345">
            <v>3</v>
          </cell>
          <cell r="AM345">
            <v>89.46</v>
          </cell>
          <cell r="AP345">
            <v>3</v>
          </cell>
          <cell r="AQ345">
            <v>1</v>
          </cell>
          <cell r="AS345">
            <v>2</v>
          </cell>
          <cell r="AV345" t="str">
            <v xml:space="preserve">  </v>
          </cell>
          <cell r="AW345">
            <v>3</v>
          </cell>
        </row>
        <row r="346">
          <cell r="D346" t="str">
            <v>A21600151</v>
          </cell>
          <cell r="E346" t="str">
            <v>Sherko</v>
          </cell>
          <cell r="F346" t="str">
            <v>Hasan</v>
          </cell>
          <cell r="G346" t="str">
            <v>Tamo</v>
          </cell>
          <cell r="H346" t="str">
            <v>Male</v>
          </cell>
          <cell r="J346" t="str">
            <v>Kurdish</v>
          </cell>
          <cell r="K346" t="str">
            <v>0750 443 2581</v>
          </cell>
          <cell r="L346" t="str">
            <v>0750 401 6332</v>
          </cell>
          <cell r="N346" t="str">
            <v>No</v>
          </cell>
          <cell r="O346" t="str">
            <v>No</v>
          </cell>
          <cell r="P346" t="str">
            <v>Local</v>
          </cell>
          <cell r="Q346" t="str">
            <v>First Year</v>
          </cell>
          <cell r="R346" t="str">
            <v>Martyr's Aid</v>
          </cell>
          <cell r="T346" t="str">
            <v>Pending</v>
          </cell>
          <cell r="V346" t="str">
            <v>Spring</v>
          </cell>
          <cell r="W346" t="str">
            <v>2016</v>
          </cell>
          <cell r="Z346" t="str">
            <v>High School</v>
          </cell>
          <cell r="AE346" t="str">
            <v>Dejlah</v>
          </cell>
          <cell r="AF346" t="str">
            <v>Zakho</v>
          </cell>
          <cell r="AG346" t="str">
            <v>Rebar</v>
          </cell>
          <cell r="AH346">
            <v>61</v>
          </cell>
          <cell r="AK346">
            <v>61</v>
          </cell>
          <cell r="AM346">
            <v>61</v>
          </cell>
        </row>
        <row r="347">
          <cell r="D347" t="str">
            <v>A21600152</v>
          </cell>
          <cell r="E347" t="str">
            <v>Rojeen</v>
          </cell>
          <cell r="F347" t="str">
            <v>Jafar</v>
          </cell>
          <cell r="G347" t="str">
            <v>Ismael</v>
          </cell>
          <cell r="H347" t="str">
            <v>Female</v>
          </cell>
          <cell r="I347">
            <v>1993</v>
          </cell>
          <cell r="J347" t="str">
            <v>Kurdish</v>
          </cell>
          <cell r="K347" t="str">
            <v>0750 435 5957</v>
          </cell>
          <cell r="L347" t="str">
            <v>0750 374 5597</v>
          </cell>
          <cell r="N347" t="str">
            <v>No</v>
          </cell>
          <cell r="O347" t="str">
            <v>No</v>
          </cell>
          <cell r="P347" t="str">
            <v>Local</v>
          </cell>
          <cell r="Q347" t="str">
            <v>First Year</v>
          </cell>
          <cell r="R347" t="str">
            <v>Martyr's Aid</v>
          </cell>
          <cell r="S347" t="str">
            <v>Family Discount</v>
          </cell>
          <cell r="T347" t="str">
            <v>Accepted</v>
          </cell>
          <cell r="U347">
            <v>0</v>
          </cell>
          <cell r="V347" t="str">
            <v>Spring</v>
          </cell>
          <cell r="W347" t="str">
            <v>2016</v>
          </cell>
          <cell r="Z347" t="str">
            <v>High School</v>
          </cell>
          <cell r="AA347">
            <v>2014</v>
          </cell>
          <cell r="AB347">
            <v>1</v>
          </cell>
          <cell r="AC347">
            <v>2</v>
          </cell>
          <cell r="AD347" t="str">
            <v>Science</v>
          </cell>
          <cell r="AE347" t="str">
            <v>Lavan</v>
          </cell>
          <cell r="AF347" t="str">
            <v>Duhok</v>
          </cell>
          <cell r="AG347" t="str">
            <v>Shaxke</v>
          </cell>
          <cell r="AH347">
            <v>56.5</v>
          </cell>
          <cell r="AK347">
            <v>56.5</v>
          </cell>
          <cell r="AM347">
            <v>56.5</v>
          </cell>
          <cell r="AP347">
            <v>1</v>
          </cell>
          <cell r="AZ347">
            <v>1</v>
          </cell>
          <cell r="BB347">
            <v>2</v>
          </cell>
        </row>
        <row r="348">
          <cell r="D348" t="str">
            <v>A21600153</v>
          </cell>
          <cell r="E348" t="str">
            <v>Sharmin</v>
          </cell>
          <cell r="F348" t="str">
            <v>Jafar</v>
          </cell>
          <cell r="G348" t="str">
            <v>Ismael</v>
          </cell>
          <cell r="H348" t="str">
            <v>Female</v>
          </cell>
          <cell r="I348">
            <v>1996</v>
          </cell>
          <cell r="J348" t="str">
            <v>Kurdish</v>
          </cell>
          <cell r="K348" t="str">
            <v>0750 435 5957</v>
          </cell>
          <cell r="L348" t="str">
            <v>0750 374 5597</v>
          </cell>
          <cell r="N348" t="str">
            <v>No</v>
          </cell>
          <cell r="O348" t="str">
            <v>No</v>
          </cell>
          <cell r="P348" t="str">
            <v>Local</v>
          </cell>
          <cell r="Q348" t="str">
            <v>First Year</v>
          </cell>
          <cell r="R348" t="str">
            <v>Martyr's Aid</v>
          </cell>
          <cell r="T348" t="str">
            <v>Accepted</v>
          </cell>
          <cell r="U348">
            <v>0</v>
          </cell>
          <cell r="V348" t="str">
            <v>Spring</v>
          </cell>
          <cell r="W348" t="str">
            <v>2016</v>
          </cell>
          <cell r="Z348" t="str">
            <v>High School</v>
          </cell>
          <cell r="AA348">
            <v>2015</v>
          </cell>
          <cell r="AD348" t="str">
            <v>Science</v>
          </cell>
          <cell r="AE348" t="str">
            <v>Lavan</v>
          </cell>
          <cell r="AF348" t="str">
            <v>Duhok</v>
          </cell>
          <cell r="AG348" t="str">
            <v>Shaxke</v>
          </cell>
          <cell r="AH348">
            <v>58</v>
          </cell>
          <cell r="AK348">
            <v>58</v>
          </cell>
          <cell r="AM348">
            <v>58</v>
          </cell>
          <cell r="AP348">
            <v>1</v>
          </cell>
          <cell r="BD348">
            <v>1</v>
          </cell>
          <cell r="BG348">
            <v>2</v>
          </cell>
        </row>
        <row r="349">
          <cell r="D349" t="str">
            <v>A21600154</v>
          </cell>
          <cell r="E349" t="str">
            <v>Shahlan</v>
          </cell>
          <cell r="F349" t="str">
            <v>Haydar</v>
          </cell>
          <cell r="G349" t="str">
            <v>MohammedTaher</v>
          </cell>
          <cell r="H349" t="str">
            <v>Female</v>
          </cell>
          <cell r="I349">
            <v>1996</v>
          </cell>
          <cell r="J349" t="str">
            <v>Kurdish</v>
          </cell>
          <cell r="K349" t="str">
            <v>0750 435 5957</v>
          </cell>
          <cell r="L349" t="str">
            <v>0750 450 1195</v>
          </cell>
          <cell r="N349" t="str">
            <v>Yes</v>
          </cell>
          <cell r="O349" t="str">
            <v>No</v>
          </cell>
          <cell r="P349" t="str">
            <v>Local</v>
          </cell>
          <cell r="Q349" t="str">
            <v>First Year</v>
          </cell>
          <cell r="R349" t="str">
            <v>Martyr's Aid</v>
          </cell>
          <cell r="T349" t="str">
            <v>Accepted</v>
          </cell>
          <cell r="U349">
            <v>0</v>
          </cell>
          <cell r="V349" t="str">
            <v>Spring</v>
          </cell>
          <cell r="W349" t="str">
            <v>2016</v>
          </cell>
          <cell r="Z349" t="str">
            <v>High School</v>
          </cell>
          <cell r="AA349">
            <v>2015</v>
          </cell>
          <cell r="AB349">
            <v>2</v>
          </cell>
          <cell r="AC349">
            <v>2</v>
          </cell>
          <cell r="AD349" t="str">
            <v>Science</v>
          </cell>
          <cell r="AE349" t="str">
            <v>Kazheen</v>
          </cell>
          <cell r="AF349" t="str">
            <v>Duhok</v>
          </cell>
          <cell r="AG349" t="str">
            <v>Masik 2</v>
          </cell>
          <cell r="AH349">
            <v>65.400000000000006</v>
          </cell>
          <cell r="AK349">
            <v>65.400000000000006</v>
          </cell>
          <cell r="AL349">
            <v>1</v>
          </cell>
          <cell r="AM349">
            <v>66.400000000000006</v>
          </cell>
          <cell r="AP349">
            <v>1</v>
          </cell>
          <cell r="AW349">
            <v>1</v>
          </cell>
          <cell r="BG349">
            <v>3</v>
          </cell>
          <cell r="BJ349">
            <v>2</v>
          </cell>
        </row>
        <row r="350">
          <cell r="D350" t="str">
            <v>A21600155</v>
          </cell>
          <cell r="E350" t="str">
            <v>Neroj</v>
          </cell>
          <cell r="F350" t="str">
            <v>Dalshad</v>
          </cell>
          <cell r="G350" t="str">
            <v>Abdulhameed</v>
          </cell>
          <cell r="H350" t="str">
            <v>Female</v>
          </cell>
          <cell r="I350">
            <v>1994</v>
          </cell>
          <cell r="J350" t="str">
            <v>Kurdish</v>
          </cell>
          <cell r="K350" t="str">
            <v>0750 445 5433</v>
          </cell>
          <cell r="L350" t="str">
            <v>0750 450 9976</v>
          </cell>
          <cell r="N350" t="str">
            <v>No</v>
          </cell>
          <cell r="O350" t="str">
            <v>No</v>
          </cell>
          <cell r="P350" t="str">
            <v>Local</v>
          </cell>
          <cell r="Q350" t="str">
            <v>First Year</v>
          </cell>
          <cell r="R350" t="str">
            <v>Regular</v>
          </cell>
          <cell r="T350" t="str">
            <v>Accepted</v>
          </cell>
          <cell r="U350">
            <v>0</v>
          </cell>
          <cell r="V350" t="str">
            <v>Spring</v>
          </cell>
          <cell r="W350" t="str">
            <v>2016</v>
          </cell>
          <cell r="Z350" t="str">
            <v>High School</v>
          </cell>
          <cell r="AA350">
            <v>2015</v>
          </cell>
          <cell r="AB350">
            <v>1</v>
          </cell>
          <cell r="AC350">
            <v>2</v>
          </cell>
          <cell r="AD350" t="str">
            <v>Science</v>
          </cell>
          <cell r="AE350" t="str">
            <v>Home School</v>
          </cell>
          <cell r="AF350" t="str">
            <v>Duhok</v>
          </cell>
          <cell r="AG350" t="str">
            <v>Grebase</v>
          </cell>
          <cell r="AH350">
            <v>78.8</v>
          </cell>
          <cell r="AK350">
            <v>78.8</v>
          </cell>
          <cell r="AL350">
            <v>1</v>
          </cell>
          <cell r="AM350">
            <v>79.8</v>
          </cell>
          <cell r="AP350">
            <v>1</v>
          </cell>
          <cell r="BJ350">
            <v>1</v>
          </cell>
        </row>
        <row r="351">
          <cell r="D351" t="str">
            <v>A21600156</v>
          </cell>
          <cell r="E351" t="str">
            <v>Siyar</v>
          </cell>
          <cell r="F351" t="str">
            <v>HussamAldeen</v>
          </cell>
          <cell r="G351" t="str">
            <v>Nachi</v>
          </cell>
          <cell r="H351" t="str">
            <v>Male</v>
          </cell>
          <cell r="I351">
            <v>1991</v>
          </cell>
          <cell r="J351" t="str">
            <v>Kurdish</v>
          </cell>
          <cell r="K351" t="str">
            <v>0750 450 5152</v>
          </cell>
          <cell r="L351" t="str">
            <v>0750 474 2323</v>
          </cell>
          <cell r="N351" t="str">
            <v>No</v>
          </cell>
          <cell r="O351" t="str">
            <v>No</v>
          </cell>
          <cell r="P351" t="str">
            <v>Local</v>
          </cell>
          <cell r="Q351" t="str">
            <v>First Year</v>
          </cell>
          <cell r="R351" t="str">
            <v>Regular</v>
          </cell>
          <cell r="T351" t="str">
            <v>Accepted</v>
          </cell>
          <cell r="U351">
            <v>0</v>
          </cell>
          <cell r="V351" t="str">
            <v>Spring</v>
          </cell>
          <cell r="W351" t="str">
            <v>2016</v>
          </cell>
          <cell r="Z351" t="str">
            <v>High School</v>
          </cell>
          <cell r="AA351">
            <v>2015</v>
          </cell>
          <cell r="AB351">
            <v>1</v>
          </cell>
          <cell r="AC351">
            <v>2</v>
          </cell>
          <cell r="AD351" t="str">
            <v>Arts</v>
          </cell>
          <cell r="AE351" t="str">
            <v>Home School</v>
          </cell>
          <cell r="AF351" t="str">
            <v>Duhok</v>
          </cell>
          <cell r="AG351" t="str">
            <v>K.R.O</v>
          </cell>
          <cell r="AH351">
            <v>55.8</v>
          </cell>
          <cell r="AK351">
            <v>55.8</v>
          </cell>
          <cell r="AL351">
            <v>0.81</v>
          </cell>
          <cell r="AM351">
            <v>56.61</v>
          </cell>
          <cell r="BB351">
            <v>1</v>
          </cell>
        </row>
        <row r="352">
          <cell r="D352" t="str">
            <v>A21600157</v>
          </cell>
          <cell r="E352" t="str">
            <v>Hiwa</v>
          </cell>
          <cell r="F352" t="str">
            <v>Nori</v>
          </cell>
          <cell r="G352" t="str">
            <v>Salih</v>
          </cell>
          <cell r="H352" t="str">
            <v>Male</v>
          </cell>
          <cell r="I352">
            <v>1990</v>
          </cell>
          <cell r="K352" t="str">
            <v>0750 199 9979</v>
          </cell>
          <cell r="L352" t="str">
            <v>0750 459 4564</v>
          </cell>
          <cell r="N352" t="str">
            <v>No</v>
          </cell>
          <cell r="O352" t="str">
            <v>No</v>
          </cell>
          <cell r="P352" t="str">
            <v>Local</v>
          </cell>
          <cell r="Q352" t="str">
            <v>First Year</v>
          </cell>
          <cell r="R352" t="str">
            <v>Regular</v>
          </cell>
          <cell r="T352" t="str">
            <v>Accepted</v>
          </cell>
          <cell r="U352" t="str">
            <v>Withdraw</v>
          </cell>
          <cell r="V352" t="str">
            <v>Spring</v>
          </cell>
          <cell r="W352" t="str">
            <v>2016</v>
          </cell>
          <cell r="Z352" t="str">
            <v>High School</v>
          </cell>
          <cell r="AA352">
            <v>2015</v>
          </cell>
          <cell r="AE352" t="str">
            <v>Dastor</v>
          </cell>
          <cell r="AF352" t="str">
            <v>Duhok</v>
          </cell>
          <cell r="AG352" t="str">
            <v>Masik</v>
          </cell>
          <cell r="AH352">
            <v>58</v>
          </cell>
          <cell r="AK352">
            <v>58</v>
          </cell>
          <cell r="AL352">
            <v>1</v>
          </cell>
          <cell r="AM352">
            <v>59</v>
          </cell>
          <cell r="AP352">
            <v>1</v>
          </cell>
          <cell r="BG352">
            <v>1</v>
          </cell>
        </row>
        <row r="353">
          <cell r="D353" t="str">
            <v>A21600158</v>
          </cell>
          <cell r="E353" t="str">
            <v>Msogar</v>
          </cell>
          <cell r="F353" t="str">
            <v>Navroz</v>
          </cell>
          <cell r="G353" t="str">
            <v>MohammedAbdullah</v>
          </cell>
          <cell r="H353" t="str">
            <v>Male</v>
          </cell>
          <cell r="K353" t="str">
            <v>0750 457 3941</v>
          </cell>
          <cell r="L353" t="str">
            <v>0750 409 0250</v>
          </cell>
          <cell r="N353" t="str">
            <v>No</v>
          </cell>
          <cell r="O353" t="str">
            <v>No</v>
          </cell>
          <cell r="P353" t="str">
            <v>Local</v>
          </cell>
          <cell r="Q353" t="str">
            <v>First Year</v>
          </cell>
          <cell r="R353" t="str">
            <v>Martyr's Aid</v>
          </cell>
          <cell r="T353" t="str">
            <v>Accepted</v>
          </cell>
          <cell r="U353" t="str">
            <v>Withdraw</v>
          </cell>
          <cell r="V353" t="str">
            <v>Spring</v>
          </cell>
          <cell r="W353" t="str">
            <v>2016</v>
          </cell>
          <cell r="Z353" t="str">
            <v>High School</v>
          </cell>
          <cell r="AA353">
            <v>2015</v>
          </cell>
          <cell r="AE353" t="str">
            <v>Malta</v>
          </cell>
          <cell r="AF353" t="str">
            <v>Duhok</v>
          </cell>
          <cell r="AG353" t="str">
            <v>Masik</v>
          </cell>
          <cell r="AH353">
            <v>70.8</v>
          </cell>
          <cell r="AI353">
            <v>61</v>
          </cell>
          <cell r="AJ353">
            <v>58.3</v>
          </cell>
          <cell r="AK353">
            <v>70.8</v>
          </cell>
          <cell r="AL353">
            <v>1</v>
          </cell>
          <cell r="AM353">
            <v>71.8</v>
          </cell>
          <cell r="AS353">
            <v>1</v>
          </cell>
        </row>
        <row r="354">
          <cell r="D354" t="str">
            <v>A21600159</v>
          </cell>
          <cell r="E354" t="str">
            <v>Roken</v>
          </cell>
          <cell r="F354" t="str">
            <v>Soliman</v>
          </cell>
          <cell r="G354" t="str">
            <v>Ibrahim</v>
          </cell>
          <cell r="H354" t="str">
            <v>Female</v>
          </cell>
          <cell r="I354">
            <v>1994</v>
          </cell>
          <cell r="K354" t="str">
            <v>0782 832 0328</v>
          </cell>
          <cell r="L354" t="str">
            <v>0750 204 6515</v>
          </cell>
          <cell r="N354" t="str">
            <v>No</v>
          </cell>
          <cell r="O354" t="str">
            <v>No</v>
          </cell>
          <cell r="P354" t="str">
            <v>International</v>
          </cell>
          <cell r="Q354" t="str">
            <v>First Year</v>
          </cell>
          <cell r="R354" t="str">
            <v>Regular</v>
          </cell>
          <cell r="T354" t="str">
            <v>Accepted</v>
          </cell>
          <cell r="U354" t="str">
            <v>Withdraw</v>
          </cell>
          <cell r="V354" t="str">
            <v>Spring</v>
          </cell>
          <cell r="W354" t="str">
            <v>2016</v>
          </cell>
          <cell r="Z354" t="str">
            <v>High School</v>
          </cell>
          <cell r="AA354">
            <v>2012</v>
          </cell>
          <cell r="AF354" t="str">
            <v>Zakho</v>
          </cell>
          <cell r="AG354" t="str">
            <v>Nasarah</v>
          </cell>
          <cell r="AH354">
            <v>86.11</v>
          </cell>
          <cell r="AK354">
            <v>86.11</v>
          </cell>
          <cell r="AM354">
            <v>86.11</v>
          </cell>
          <cell r="BB354">
            <v>1</v>
          </cell>
        </row>
        <row r="355">
          <cell r="D355" t="str">
            <v>A21600160</v>
          </cell>
          <cell r="E355" t="str">
            <v>Hazrin</v>
          </cell>
          <cell r="F355" t="str">
            <v>Safaree</v>
          </cell>
          <cell r="G355" t="str">
            <v>Babakr</v>
          </cell>
          <cell r="H355" t="str">
            <v>Female</v>
          </cell>
          <cell r="I355">
            <v>1997</v>
          </cell>
          <cell r="J355" t="str">
            <v>Kurdish</v>
          </cell>
          <cell r="K355" t="str">
            <v>0750 738 5151</v>
          </cell>
          <cell r="L355" t="str">
            <v>0750 446 0808</v>
          </cell>
          <cell r="N355" t="str">
            <v>No</v>
          </cell>
          <cell r="O355" t="str">
            <v>No</v>
          </cell>
          <cell r="P355" t="str">
            <v>Local</v>
          </cell>
          <cell r="Q355" t="str">
            <v>First Year</v>
          </cell>
          <cell r="R355" t="str">
            <v>Regular</v>
          </cell>
          <cell r="T355" t="str">
            <v>Accepted</v>
          </cell>
          <cell r="U355">
            <v>0</v>
          </cell>
          <cell r="V355" t="str">
            <v>Spring</v>
          </cell>
          <cell r="W355" t="str">
            <v>2016</v>
          </cell>
          <cell r="Z355" t="str">
            <v>High School</v>
          </cell>
          <cell r="AA355">
            <v>2015</v>
          </cell>
          <cell r="AB355">
            <v>1</v>
          </cell>
          <cell r="AC355">
            <v>1</v>
          </cell>
          <cell r="AD355" t="str">
            <v>Science</v>
          </cell>
          <cell r="AE355" t="str">
            <v>Baharke</v>
          </cell>
          <cell r="AF355" t="str">
            <v>Hawler</v>
          </cell>
          <cell r="AG355" t="str">
            <v>Baharkah</v>
          </cell>
          <cell r="AH355">
            <v>80.5</v>
          </cell>
          <cell r="AI355">
            <v>68.5</v>
          </cell>
          <cell r="AJ355">
            <v>93</v>
          </cell>
          <cell r="AK355">
            <v>80.550000000000011</v>
          </cell>
          <cell r="AL355">
            <v>3</v>
          </cell>
          <cell r="AM355">
            <v>83.550000000000011</v>
          </cell>
          <cell r="AP355">
            <v>2</v>
          </cell>
          <cell r="AQ355">
            <v>1</v>
          </cell>
        </row>
        <row r="356">
          <cell r="D356" t="str">
            <v>A21600161</v>
          </cell>
          <cell r="E356" t="str">
            <v>Jehat</v>
          </cell>
          <cell r="F356" t="str">
            <v>Incin</v>
          </cell>
          <cell r="G356" t="str">
            <v>Safer</v>
          </cell>
          <cell r="H356" t="str">
            <v>Male</v>
          </cell>
          <cell r="I356">
            <v>1992</v>
          </cell>
          <cell r="J356" t="str">
            <v>Turkish</v>
          </cell>
          <cell r="K356" t="str">
            <v>0750 401 6959</v>
          </cell>
          <cell r="N356" t="str">
            <v>No</v>
          </cell>
          <cell r="O356" t="str">
            <v>No</v>
          </cell>
          <cell r="P356" t="str">
            <v>International</v>
          </cell>
          <cell r="Q356" t="str">
            <v>First Year</v>
          </cell>
          <cell r="R356" t="str">
            <v>Martyr's Aid</v>
          </cell>
          <cell r="T356" t="str">
            <v>Accepted</v>
          </cell>
          <cell r="U356">
            <v>0</v>
          </cell>
          <cell r="V356" t="str">
            <v>Spring</v>
          </cell>
          <cell r="W356" t="str">
            <v>2016</v>
          </cell>
          <cell r="Z356" t="str">
            <v>High School</v>
          </cell>
          <cell r="AA356">
            <v>2011</v>
          </cell>
          <cell r="AD356" t="str">
            <v>Science</v>
          </cell>
          <cell r="AF356" t="str">
            <v>Duhok</v>
          </cell>
          <cell r="AG356" t="str">
            <v>Shakhke</v>
          </cell>
          <cell r="AH356">
            <v>62.33</v>
          </cell>
          <cell r="AK356">
            <v>62.33</v>
          </cell>
          <cell r="AM356">
            <v>62.33</v>
          </cell>
          <cell r="AP356">
            <v>1</v>
          </cell>
          <cell r="AW356">
            <v>2</v>
          </cell>
          <cell r="BJ356">
            <v>1</v>
          </cell>
        </row>
        <row r="357">
          <cell r="D357" t="str">
            <v>A21600162</v>
          </cell>
          <cell r="E357" t="str">
            <v>Dejin</v>
          </cell>
          <cell r="F357" t="str">
            <v>Omar</v>
          </cell>
          <cell r="G357" t="str">
            <v>Salih</v>
          </cell>
          <cell r="H357" t="str">
            <v>Female</v>
          </cell>
          <cell r="I357">
            <v>1996</v>
          </cell>
          <cell r="K357" t="str">
            <v>0750 445 5950</v>
          </cell>
          <cell r="L357" t="str">
            <v>0750 439 5050</v>
          </cell>
          <cell r="N357" t="str">
            <v>No</v>
          </cell>
          <cell r="O357" t="str">
            <v>No</v>
          </cell>
          <cell r="P357" t="str">
            <v>Local</v>
          </cell>
          <cell r="Q357" t="str">
            <v>First Year</v>
          </cell>
          <cell r="R357" t="str">
            <v>Regular</v>
          </cell>
          <cell r="T357" t="str">
            <v>Accepted</v>
          </cell>
          <cell r="U357">
            <v>0</v>
          </cell>
          <cell r="V357" t="str">
            <v>Spring</v>
          </cell>
          <cell r="W357" t="str">
            <v>2016</v>
          </cell>
          <cell r="Z357" t="str">
            <v>High School</v>
          </cell>
          <cell r="AA357">
            <v>2015</v>
          </cell>
          <cell r="AE357" t="str">
            <v>Jagar Khowin</v>
          </cell>
          <cell r="AF357" t="str">
            <v>Duhok</v>
          </cell>
          <cell r="AG357" t="str">
            <v>Takhe ronahi</v>
          </cell>
          <cell r="AH357">
            <v>58</v>
          </cell>
          <cell r="AI357">
            <v>63.51</v>
          </cell>
          <cell r="AJ357">
            <v>60.69</v>
          </cell>
          <cell r="AK357">
            <v>58.820000000000007</v>
          </cell>
          <cell r="AL357">
            <v>1</v>
          </cell>
          <cell r="AM357">
            <v>59.820000000000007</v>
          </cell>
          <cell r="AP357">
            <v>1</v>
          </cell>
          <cell r="BB357">
            <v>1</v>
          </cell>
        </row>
        <row r="358">
          <cell r="D358" t="str">
            <v>A21600163</v>
          </cell>
          <cell r="E358" t="str">
            <v>Lana</v>
          </cell>
          <cell r="F358" t="str">
            <v>Antar</v>
          </cell>
          <cell r="G358" t="str">
            <v>Zibari</v>
          </cell>
          <cell r="H358" t="str">
            <v>Female</v>
          </cell>
          <cell r="I358">
            <v>1997</v>
          </cell>
          <cell r="J358" t="str">
            <v>Kurdish</v>
          </cell>
          <cell r="K358" t="str">
            <v>0750 388 3339</v>
          </cell>
          <cell r="L358" t="str">
            <v>0750 434 8895</v>
          </cell>
          <cell r="M358" t="str">
            <v>lana.zibari97@gmail.com</v>
          </cell>
          <cell r="N358" t="str">
            <v>No</v>
          </cell>
          <cell r="O358" t="str">
            <v>No</v>
          </cell>
          <cell r="P358" t="str">
            <v>International</v>
          </cell>
          <cell r="Q358" t="str">
            <v>First Year</v>
          </cell>
          <cell r="R358" t="str">
            <v>Regular</v>
          </cell>
          <cell r="T358" t="str">
            <v>Accepted</v>
          </cell>
          <cell r="U358">
            <v>0</v>
          </cell>
          <cell r="V358" t="str">
            <v>Spring</v>
          </cell>
          <cell r="W358" t="str">
            <v>2016</v>
          </cell>
          <cell r="Z358" t="str">
            <v>High School</v>
          </cell>
          <cell r="AA358">
            <v>2015</v>
          </cell>
          <cell r="AD358" t="str">
            <v>Science</v>
          </cell>
          <cell r="AE358" t="str">
            <v>Choueifat</v>
          </cell>
          <cell r="AF358" t="str">
            <v>Hawler</v>
          </cell>
          <cell r="AG358" t="str">
            <v>Masef</v>
          </cell>
          <cell r="AH358">
            <v>77</v>
          </cell>
          <cell r="AK358">
            <v>77</v>
          </cell>
          <cell r="AM358">
            <v>77</v>
          </cell>
          <cell r="AN358">
            <v>88</v>
          </cell>
          <cell r="AP358">
            <v>8</v>
          </cell>
          <cell r="BJ358">
            <v>1</v>
          </cell>
        </row>
        <row r="359">
          <cell r="D359" t="str">
            <v>A21600164</v>
          </cell>
          <cell r="E359" t="str">
            <v>Roz</v>
          </cell>
          <cell r="F359" t="str">
            <v>Mousa</v>
          </cell>
          <cell r="G359" t="str">
            <v>Mustafa</v>
          </cell>
          <cell r="H359" t="str">
            <v>Male</v>
          </cell>
          <cell r="I359">
            <v>1997</v>
          </cell>
          <cell r="K359" t="str">
            <v>0750 413 3378</v>
          </cell>
          <cell r="L359" t="str">
            <v>0750 458 2547</v>
          </cell>
          <cell r="M359" t="str">
            <v>roj.mustaf@yahoo.com</v>
          </cell>
          <cell r="N359" t="str">
            <v>No</v>
          </cell>
          <cell r="O359" t="str">
            <v>No</v>
          </cell>
          <cell r="P359" t="str">
            <v>Local</v>
          </cell>
          <cell r="Q359" t="str">
            <v>First Year</v>
          </cell>
          <cell r="R359" t="str">
            <v>Regular</v>
          </cell>
          <cell r="T359" t="str">
            <v>Accepted</v>
          </cell>
          <cell r="U359" t="str">
            <v>Withdraw</v>
          </cell>
          <cell r="V359" t="str">
            <v>Spring</v>
          </cell>
          <cell r="W359" t="str">
            <v>2016</v>
          </cell>
          <cell r="Z359" t="str">
            <v>High School</v>
          </cell>
          <cell r="AA359">
            <v>2015</v>
          </cell>
          <cell r="AE359" t="str">
            <v>Taakhi</v>
          </cell>
          <cell r="AF359" t="str">
            <v>Duhok</v>
          </cell>
          <cell r="AG359" t="str">
            <v>Shakhke</v>
          </cell>
          <cell r="AH359">
            <v>80</v>
          </cell>
          <cell r="AI359">
            <v>75.400000000000006</v>
          </cell>
          <cell r="AJ359">
            <v>66</v>
          </cell>
          <cell r="AK359">
            <v>80</v>
          </cell>
          <cell r="AL359">
            <v>1</v>
          </cell>
          <cell r="AM359">
            <v>81</v>
          </cell>
          <cell r="AP359">
            <v>2</v>
          </cell>
          <cell r="BG359">
            <v>1</v>
          </cell>
        </row>
        <row r="360">
          <cell r="D360" t="str">
            <v>A21600165</v>
          </cell>
          <cell r="E360" t="str">
            <v>Melat</v>
          </cell>
          <cell r="F360" t="str">
            <v>Arwan</v>
          </cell>
          <cell r="G360" t="str">
            <v>Adnan</v>
          </cell>
          <cell r="H360" t="str">
            <v>Male</v>
          </cell>
          <cell r="I360">
            <v>1996</v>
          </cell>
          <cell r="K360" t="str">
            <v>0750 300 5566</v>
          </cell>
          <cell r="L360" t="str">
            <v>0750 441 4222</v>
          </cell>
          <cell r="N360" t="str">
            <v>No</v>
          </cell>
          <cell r="O360" t="str">
            <v>No</v>
          </cell>
          <cell r="P360" t="str">
            <v>Local</v>
          </cell>
          <cell r="Q360" t="str">
            <v>First Year</v>
          </cell>
          <cell r="R360" t="str">
            <v>Regular</v>
          </cell>
          <cell r="T360" t="str">
            <v>Pending</v>
          </cell>
          <cell r="V360" t="str">
            <v>Spring</v>
          </cell>
          <cell r="W360" t="str">
            <v>2016</v>
          </cell>
          <cell r="Z360" t="str">
            <v>High School</v>
          </cell>
          <cell r="AA360">
            <v>2015</v>
          </cell>
          <cell r="AE360" t="str">
            <v>Taakhi</v>
          </cell>
          <cell r="AF360" t="str">
            <v>Duhok</v>
          </cell>
          <cell r="AG360" t="str">
            <v>K.R.O</v>
          </cell>
          <cell r="AH360">
            <v>61</v>
          </cell>
          <cell r="AK360">
            <v>61</v>
          </cell>
          <cell r="AL360">
            <v>1</v>
          </cell>
          <cell r="AM360">
            <v>62</v>
          </cell>
          <cell r="BG360">
            <v>1</v>
          </cell>
        </row>
        <row r="361">
          <cell r="D361" t="str">
            <v>A21600166</v>
          </cell>
          <cell r="E361" t="str">
            <v>Hizhyan</v>
          </cell>
          <cell r="F361" t="str">
            <v>Ibrahim</v>
          </cell>
          <cell r="G361" t="str">
            <v>Mohammed</v>
          </cell>
          <cell r="H361" t="str">
            <v>Female</v>
          </cell>
          <cell r="I361">
            <v>1991</v>
          </cell>
          <cell r="J361" t="str">
            <v>Kurdish</v>
          </cell>
          <cell r="K361" t="str">
            <v>0750 709 7883</v>
          </cell>
          <cell r="L361" t="str">
            <v>0750 450 0169</v>
          </cell>
          <cell r="N361" t="str">
            <v>No</v>
          </cell>
          <cell r="O361" t="str">
            <v>No</v>
          </cell>
          <cell r="P361" t="str">
            <v>Local</v>
          </cell>
          <cell r="Q361" t="str">
            <v>First Year</v>
          </cell>
          <cell r="R361" t="str">
            <v>Martyr's Aid</v>
          </cell>
          <cell r="T361" t="str">
            <v>Accepted</v>
          </cell>
          <cell r="U361">
            <v>0</v>
          </cell>
          <cell r="V361" t="str">
            <v>Spring</v>
          </cell>
          <cell r="W361" t="str">
            <v>2016</v>
          </cell>
          <cell r="Z361" t="str">
            <v>High School</v>
          </cell>
          <cell r="AA361">
            <v>2013</v>
          </cell>
          <cell r="AB361">
            <v>3</v>
          </cell>
          <cell r="AC361">
            <v>1</v>
          </cell>
          <cell r="AD361" t="str">
            <v>Arts</v>
          </cell>
          <cell r="AE361" t="str">
            <v>Media</v>
          </cell>
          <cell r="AF361" t="str">
            <v>Duhok</v>
          </cell>
          <cell r="AG361" t="str">
            <v>Baroshke</v>
          </cell>
          <cell r="AH361">
            <v>55</v>
          </cell>
          <cell r="AK361">
            <v>55</v>
          </cell>
          <cell r="AM361">
            <v>55</v>
          </cell>
          <cell r="AP361">
            <v>1</v>
          </cell>
          <cell r="AZ361">
            <v>1</v>
          </cell>
        </row>
        <row r="362">
          <cell r="D362" t="str">
            <v>A21600167</v>
          </cell>
          <cell r="E362" t="str">
            <v>Diyaree</v>
          </cell>
          <cell r="F362" t="str">
            <v>Mansoor</v>
          </cell>
          <cell r="G362" t="str">
            <v>Hussein</v>
          </cell>
          <cell r="H362" t="str">
            <v>Male</v>
          </cell>
          <cell r="I362">
            <v>1998</v>
          </cell>
          <cell r="K362" t="str">
            <v>0750 819 5550</v>
          </cell>
          <cell r="L362" t="str">
            <v>0750 465 1509</v>
          </cell>
          <cell r="M362" t="str">
            <v>diyari.mansor@gmail.com</v>
          </cell>
          <cell r="N362" t="str">
            <v>Yes</v>
          </cell>
          <cell r="O362" t="str">
            <v>Yes</v>
          </cell>
          <cell r="P362" t="str">
            <v>International</v>
          </cell>
          <cell r="Q362" t="str">
            <v>First Year</v>
          </cell>
          <cell r="R362" t="str">
            <v>Martyr's Aid</v>
          </cell>
          <cell r="T362" t="str">
            <v>Accepted</v>
          </cell>
          <cell r="U362">
            <v>0</v>
          </cell>
          <cell r="V362" t="str">
            <v>Spring</v>
          </cell>
          <cell r="W362" t="str">
            <v>2016</v>
          </cell>
          <cell r="Z362" t="str">
            <v>High School</v>
          </cell>
          <cell r="AA362">
            <v>2015</v>
          </cell>
          <cell r="AE362" t="str">
            <v>Choueifat</v>
          </cell>
          <cell r="AF362" t="str">
            <v>Hawler</v>
          </cell>
          <cell r="AG362" t="str">
            <v>Sarwaran</v>
          </cell>
          <cell r="AH362">
            <v>76</v>
          </cell>
          <cell r="AK362">
            <v>76</v>
          </cell>
          <cell r="AM362">
            <v>76</v>
          </cell>
          <cell r="AN362">
            <v>90</v>
          </cell>
          <cell r="AP362">
            <v>8</v>
          </cell>
          <cell r="BB362">
            <v>1</v>
          </cell>
        </row>
        <row r="363">
          <cell r="D363" t="str">
            <v>A21600168</v>
          </cell>
          <cell r="E363" t="str">
            <v>Dilber</v>
          </cell>
          <cell r="F363" t="str">
            <v>Sadiq</v>
          </cell>
          <cell r="G363" t="str">
            <v>Mustafa</v>
          </cell>
          <cell r="H363" t="str">
            <v>Female</v>
          </cell>
          <cell r="K363" t="str">
            <v>0750 841 7376</v>
          </cell>
          <cell r="L363" t="str">
            <v>0750 446 2271</v>
          </cell>
          <cell r="N363" t="str">
            <v>No</v>
          </cell>
          <cell r="O363" t="str">
            <v>No</v>
          </cell>
          <cell r="P363" t="str">
            <v>Local</v>
          </cell>
          <cell r="Q363" t="str">
            <v>First Year</v>
          </cell>
          <cell r="R363" t="str">
            <v>Martyr's Aid</v>
          </cell>
          <cell r="T363" t="str">
            <v>Pending</v>
          </cell>
          <cell r="V363" t="str">
            <v>Spring</v>
          </cell>
          <cell r="W363" t="str">
            <v>2016</v>
          </cell>
          <cell r="Z363" t="str">
            <v>High School</v>
          </cell>
          <cell r="AA363">
            <v>2015</v>
          </cell>
          <cell r="AE363" t="str">
            <v>Yarmand</v>
          </cell>
          <cell r="AF363" t="str">
            <v>Duhok</v>
          </cell>
          <cell r="AG363" t="str">
            <v>Sarhaldan</v>
          </cell>
          <cell r="AH363">
            <v>74</v>
          </cell>
          <cell r="AI363">
            <v>94.2</v>
          </cell>
          <cell r="AJ363">
            <v>92</v>
          </cell>
          <cell r="AK363">
            <v>77.820000000000007</v>
          </cell>
          <cell r="AL363">
            <v>1</v>
          </cell>
          <cell r="AM363">
            <v>78.820000000000007</v>
          </cell>
        </row>
        <row r="364">
          <cell r="D364" t="str">
            <v>A21600169</v>
          </cell>
          <cell r="E364" t="str">
            <v>Zindan</v>
          </cell>
          <cell r="F364" t="str">
            <v>Majeed</v>
          </cell>
          <cell r="G364" t="str">
            <v>Yousif</v>
          </cell>
          <cell r="H364" t="str">
            <v>Male</v>
          </cell>
          <cell r="I364">
            <v>1989</v>
          </cell>
          <cell r="K364" t="str">
            <v>0750 764 9027</v>
          </cell>
          <cell r="L364" t="str">
            <v>0750 470 4688</v>
          </cell>
          <cell r="N364" t="str">
            <v>No</v>
          </cell>
          <cell r="O364" t="str">
            <v>No</v>
          </cell>
          <cell r="P364" t="str">
            <v>Local</v>
          </cell>
          <cell r="Q364" t="str">
            <v>First Year</v>
          </cell>
          <cell r="R364" t="str">
            <v>Martyr's Aid</v>
          </cell>
          <cell r="T364" t="str">
            <v>Accepted</v>
          </cell>
          <cell r="U364">
            <v>0</v>
          </cell>
          <cell r="V364" t="str">
            <v>Spring</v>
          </cell>
          <cell r="W364" t="str">
            <v>2016</v>
          </cell>
          <cell r="Z364" t="str">
            <v>High School</v>
          </cell>
          <cell r="AA364">
            <v>2013</v>
          </cell>
          <cell r="AE364" t="str">
            <v>Qasrok</v>
          </cell>
          <cell r="AF364" t="str">
            <v>Duhok</v>
          </cell>
          <cell r="AG364" t="str">
            <v>Qasrok</v>
          </cell>
          <cell r="AH364">
            <v>57</v>
          </cell>
          <cell r="AK364">
            <v>57</v>
          </cell>
          <cell r="AM364">
            <v>57</v>
          </cell>
          <cell r="BB364">
            <v>1</v>
          </cell>
        </row>
        <row r="365">
          <cell r="D365" t="str">
            <v>A21600170</v>
          </cell>
          <cell r="E365" t="str">
            <v>Diyan</v>
          </cell>
          <cell r="F365" t="str">
            <v>Muhsin</v>
          </cell>
          <cell r="G365" t="str">
            <v>Ahmed</v>
          </cell>
          <cell r="H365" t="str">
            <v>Female</v>
          </cell>
          <cell r="I365">
            <v>1997</v>
          </cell>
          <cell r="J365" t="str">
            <v>Kurdish</v>
          </cell>
          <cell r="K365" t="str">
            <v>0750 849 0789</v>
          </cell>
          <cell r="L365" t="str">
            <v>0750 431 4858</v>
          </cell>
          <cell r="M365" t="str">
            <v>dian199797@gmail.com</v>
          </cell>
          <cell r="N365" t="str">
            <v>No</v>
          </cell>
          <cell r="O365" t="str">
            <v>No</v>
          </cell>
          <cell r="P365" t="str">
            <v>Local</v>
          </cell>
          <cell r="Q365" t="str">
            <v>First Year</v>
          </cell>
          <cell r="R365" t="str">
            <v>Regular</v>
          </cell>
          <cell r="T365" t="str">
            <v>Accepted</v>
          </cell>
          <cell r="U365" t="str">
            <v>Withdraw</v>
          </cell>
          <cell r="V365" t="str">
            <v>Spring</v>
          </cell>
          <cell r="W365" t="str">
            <v>2016</v>
          </cell>
          <cell r="Z365" t="str">
            <v>High School</v>
          </cell>
          <cell r="AA365">
            <v>2015</v>
          </cell>
          <cell r="AB365">
            <v>1</v>
          </cell>
          <cell r="AC365">
            <v>1</v>
          </cell>
          <cell r="AD365" t="str">
            <v>Science</v>
          </cell>
          <cell r="AE365" t="str">
            <v>Bizhare</v>
          </cell>
          <cell r="AF365" t="str">
            <v>Duhok</v>
          </cell>
          <cell r="AG365" t="str">
            <v>Shakhke</v>
          </cell>
          <cell r="AH365">
            <v>82</v>
          </cell>
          <cell r="AI365">
            <v>84.64</v>
          </cell>
          <cell r="AJ365">
            <v>86.9</v>
          </cell>
          <cell r="AK365">
            <v>82.754000000000019</v>
          </cell>
          <cell r="AL365">
            <v>1</v>
          </cell>
          <cell r="AM365">
            <v>83.754000000000019</v>
          </cell>
          <cell r="AP365">
            <v>7</v>
          </cell>
        </row>
        <row r="366">
          <cell r="D366" t="str">
            <v>A21600171</v>
          </cell>
          <cell r="E366" t="str">
            <v>Nijirvan</v>
          </cell>
          <cell r="F366" t="str">
            <v>Adil</v>
          </cell>
          <cell r="G366" t="str">
            <v>Yousif</v>
          </cell>
          <cell r="H366" t="str">
            <v>Male</v>
          </cell>
          <cell r="I366">
            <v>1996</v>
          </cell>
          <cell r="K366" t="str">
            <v>0750 443 1738</v>
          </cell>
          <cell r="N366" t="str">
            <v>No</v>
          </cell>
          <cell r="O366" t="str">
            <v>No</v>
          </cell>
          <cell r="P366" t="str">
            <v>Local</v>
          </cell>
          <cell r="Q366" t="str">
            <v>First Year</v>
          </cell>
          <cell r="R366" t="str">
            <v>Regular</v>
          </cell>
          <cell r="S366" t="str">
            <v>Family Discount</v>
          </cell>
          <cell r="T366" t="str">
            <v>Accepted</v>
          </cell>
          <cell r="U366">
            <v>0</v>
          </cell>
          <cell r="V366" t="str">
            <v>Spring</v>
          </cell>
          <cell r="W366" t="str">
            <v>2016</v>
          </cell>
          <cell r="Z366" t="str">
            <v>High School</v>
          </cell>
          <cell r="AA366">
            <v>2015</v>
          </cell>
          <cell r="AE366" t="str">
            <v>Galy</v>
          </cell>
          <cell r="AF366" t="str">
            <v>Zakho</v>
          </cell>
          <cell r="AG366" t="str">
            <v>Gondik</v>
          </cell>
          <cell r="AH366">
            <v>53.7</v>
          </cell>
          <cell r="AI366">
            <v>60.5</v>
          </cell>
          <cell r="AJ366">
            <v>55.6</v>
          </cell>
          <cell r="AK366">
            <v>54.570000000000007</v>
          </cell>
          <cell r="AL366">
            <v>1</v>
          </cell>
          <cell r="AM366">
            <v>55.570000000000007</v>
          </cell>
          <cell r="AP366">
            <v>1</v>
          </cell>
          <cell r="BB366">
            <v>1</v>
          </cell>
        </row>
        <row r="367">
          <cell r="D367" t="str">
            <v>A21600172</v>
          </cell>
          <cell r="E367" t="str">
            <v>Hanan</v>
          </cell>
          <cell r="F367" t="str">
            <v>Abdulsatar</v>
          </cell>
          <cell r="G367" t="str">
            <v>Khorsheed</v>
          </cell>
          <cell r="H367" t="str">
            <v>Female</v>
          </cell>
          <cell r="I367">
            <v>1993</v>
          </cell>
          <cell r="J367" t="str">
            <v>Kurdish</v>
          </cell>
          <cell r="K367" t="str">
            <v>0751 540 3773</v>
          </cell>
          <cell r="L367" t="str">
            <v>0750 130 9001</v>
          </cell>
          <cell r="N367" t="str">
            <v>Yes</v>
          </cell>
          <cell r="O367" t="str">
            <v>No</v>
          </cell>
          <cell r="P367" t="str">
            <v>Local</v>
          </cell>
          <cell r="Q367" t="str">
            <v>First Year</v>
          </cell>
          <cell r="R367" t="str">
            <v>Regular</v>
          </cell>
          <cell r="T367" t="str">
            <v>Accepted</v>
          </cell>
          <cell r="U367" t="str">
            <v>Withdraw</v>
          </cell>
          <cell r="V367" t="str">
            <v>Spring</v>
          </cell>
          <cell r="W367" t="str">
            <v>2016</v>
          </cell>
          <cell r="Z367" t="str">
            <v>High School</v>
          </cell>
          <cell r="AA367">
            <v>2015</v>
          </cell>
          <cell r="AB367">
            <v>1</v>
          </cell>
          <cell r="AC367">
            <v>2</v>
          </cell>
          <cell r="AD367" t="str">
            <v>Science</v>
          </cell>
          <cell r="AE367" t="str">
            <v>Home School</v>
          </cell>
          <cell r="AF367" t="str">
            <v>Duhok</v>
          </cell>
          <cell r="AG367" t="str">
            <v>Derin City/Malta</v>
          </cell>
          <cell r="AH367">
            <v>58</v>
          </cell>
          <cell r="AK367">
            <v>58</v>
          </cell>
          <cell r="AM367">
            <v>58</v>
          </cell>
          <cell r="AP367">
            <v>1</v>
          </cell>
          <cell r="BG367">
            <v>1</v>
          </cell>
        </row>
        <row r="368">
          <cell r="D368" t="str">
            <v>A21600173</v>
          </cell>
          <cell r="E368" t="str">
            <v>Ivan</v>
          </cell>
          <cell r="F368" t="str">
            <v>Abdullah</v>
          </cell>
          <cell r="G368" t="str">
            <v>Younis</v>
          </cell>
          <cell r="H368" t="str">
            <v>Female</v>
          </cell>
          <cell r="K368" t="str">
            <v>0750 499 7797</v>
          </cell>
          <cell r="L368" t="str">
            <v>0750 418 9093</v>
          </cell>
          <cell r="N368" t="str">
            <v>Yes</v>
          </cell>
          <cell r="O368" t="str">
            <v>No</v>
          </cell>
          <cell r="P368" t="str">
            <v>Local</v>
          </cell>
          <cell r="Q368" t="str">
            <v>first Year</v>
          </cell>
          <cell r="R368" t="str">
            <v>Regular</v>
          </cell>
          <cell r="T368" t="str">
            <v>Pending</v>
          </cell>
          <cell r="V368" t="str">
            <v>Spring</v>
          </cell>
          <cell r="W368" t="str">
            <v>2016</v>
          </cell>
          <cell r="Z368" t="str">
            <v>High School</v>
          </cell>
          <cell r="AA368">
            <v>2015</v>
          </cell>
          <cell r="AE368" t="str">
            <v>Safin</v>
          </cell>
          <cell r="AF368" t="str">
            <v>Duhok</v>
          </cell>
          <cell r="AG368" t="str">
            <v>Masike</v>
          </cell>
          <cell r="AH368">
            <v>86.5</v>
          </cell>
          <cell r="AK368">
            <v>86.5</v>
          </cell>
          <cell r="AL368">
            <v>1</v>
          </cell>
          <cell r="AM368">
            <v>87.5</v>
          </cell>
          <cell r="AW368">
            <v>1</v>
          </cell>
        </row>
        <row r="369">
          <cell r="D369" t="str">
            <v>A21600174</v>
          </cell>
          <cell r="E369" t="str">
            <v>Kawkab</v>
          </cell>
          <cell r="F369" t="str">
            <v>Salwan</v>
          </cell>
          <cell r="G369" t="str">
            <v>Kawkab</v>
          </cell>
          <cell r="H369" t="str">
            <v>Male</v>
          </cell>
          <cell r="I369">
            <v>1997</v>
          </cell>
          <cell r="J369" t="str">
            <v>Arab</v>
          </cell>
          <cell r="K369" t="str">
            <v>0771 747 6373</v>
          </cell>
          <cell r="L369" t="str">
            <v>0750 816 7454</v>
          </cell>
          <cell r="N369" t="str">
            <v>No</v>
          </cell>
          <cell r="O369" t="str">
            <v>No</v>
          </cell>
          <cell r="P369" t="str">
            <v>Local</v>
          </cell>
          <cell r="Q369" t="str">
            <v>First Year</v>
          </cell>
          <cell r="R369" t="str">
            <v>Regular</v>
          </cell>
          <cell r="T369" t="str">
            <v>Accepted</v>
          </cell>
          <cell r="U369" t="str">
            <v>Withdraw</v>
          </cell>
          <cell r="V369" t="str">
            <v>Spring</v>
          </cell>
          <cell r="W369" t="str">
            <v>2016</v>
          </cell>
          <cell r="Z369" t="str">
            <v>High School</v>
          </cell>
          <cell r="AA369">
            <v>2015</v>
          </cell>
          <cell r="AC369">
            <v>2</v>
          </cell>
          <cell r="AD369" t="str">
            <v>Science</v>
          </cell>
          <cell r="AE369" t="str">
            <v>Nawroz</v>
          </cell>
          <cell r="AF369" t="str">
            <v>Duhok</v>
          </cell>
          <cell r="AG369" t="str">
            <v>Avro City</v>
          </cell>
          <cell r="AK369">
            <v>0</v>
          </cell>
          <cell r="AM369">
            <v>0</v>
          </cell>
          <cell r="AP369">
            <v>3</v>
          </cell>
          <cell r="AY369">
            <v>2</v>
          </cell>
          <cell r="BG369">
            <v>3</v>
          </cell>
          <cell r="BI369">
            <v>1</v>
          </cell>
        </row>
        <row r="370">
          <cell r="D370" t="str">
            <v>A21600175</v>
          </cell>
          <cell r="E370" t="str">
            <v xml:space="preserve">Sarwar </v>
          </cell>
          <cell r="F370" t="str">
            <v>Jamal</v>
          </cell>
          <cell r="G370" t="str">
            <v>Tawfeeq</v>
          </cell>
          <cell r="H370" t="str">
            <v>Male</v>
          </cell>
          <cell r="I370">
            <v>1991</v>
          </cell>
          <cell r="J370" t="str">
            <v>Kurdish</v>
          </cell>
          <cell r="K370" t="str">
            <v>0750 747 2137</v>
          </cell>
          <cell r="L370" t="str">
            <v>0750 435 6939</v>
          </cell>
          <cell r="N370" t="str">
            <v>No</v>
          </cell>
          <cell r="O370" t="str">
            <v>No</v>
          </cell>
          <cell r="P370" t="str">
            <v>Local</v>
          </cell>
          <cell r="Q370" t="str">
            <v>First Year</v>
          </cell>
          <cell r="R370" t="str">
            <v>Martyr's Aid</v>
          </cell>
          <cell r="S370" t="str">
            <v>Family Discount</v>
          </cell>
          <cell r="T370" t="str">
            <v>Accepted</v>
          </cell>
          <cell r="U370">
            <v>0</v>
          </cell>
          <cell r="V370" t="str">
            <v>Spring</v>
          </cell>
          <cell r="W370" t="str">
            <v>2016</v>
          </cell>
          <cell r="Z370" t="str">
            <v>High School</v>
          </cell>
          <cell r="AA370">
            <v>2010</v>
          </cell>
          <cell r="AB370">
            <v>3</v>
          </cell>
          <cell r="AC370">
            <v>2</v>
          </cell>
          <cell r="AD370" t="str">
            <v>Arts</v>
          </cell>
          <cell r="AE370" t="str">
            <v>Kawa</v>
          </cell>
          <cell r="AF370" t="str">
            <v>Duhok</v>
          </cell>
          <cell r="AG370" t="str">
            <v>Shakhke</v>
          </cell>
          <cell r="AH370">
            <v>73.8</v>
          </cell>
          <cell r="AK370">
            <v>73.8</v>
          </cell>
          <cell r="AM370">
            <v>73.8</v>
          </cell>
          <cell r="AP370">
            <v>2</v>
          </cell>
          <cell r="BG370">
            <v>2</v>
          </cell>
          <cell r="BJ370">
            <v>1</v>
          </cell>
        </row>
        <row r="371">
          <cell r="D371" t="str">
            <v>A21600176</v>
          </cell>
          <cell r="E371" t="str">
            <v>Nizar</v>
          </cell>
          <cell r="F371" t="str">
            <v>Jamal</v>
          </cell>
          <cell r="G371" t="str">
            <v>Tawfeeq</v>
          </cell>
          <cell r="H371" t="str">
            <v>Male</v>
          </cell>
          <cell r="I371">
            <v>1989</v>
          </cell>
          <cell r="K371" t="str">
            <v>0750 435 6939</v>
          </cell>
          <cell r="L371" t="str">
            <v>0750 878 5635</v>
          </cell>
          <cell r="N371" t="str">
            <v>No</v>
          </cell>
          <cell r="O371" t="str">
            <v>No</v>
          </cell>
          <cell r="P371" t="str">
            <v>Local</v>
          </cell>
          <cell r="Q371" t="str">
            <v>First Year</v>
          </cell>
          <cell r="R371" t="str">
            <v>Martyr's Aid</v>
          </cell>
          <cell r="T371" t="str">
            <v>Pending</v>
          </cell>
          <cell r="V371" t="str">
            <v>Spring</v>
          </cell>
          <cell r="W371" t="str">
            <v>2016</v>
          </cell>
          <cell r="Z371" t="str">
            <v>High School</v>
          </cell>
          <cell r="AA371">
            <v>2007</v>
          </cell>
          <cell r="AE371" t="str">
            <v>Amad</v>
          </cell>
          <cell r="AF371" t="str">
            <v>Duhok</v>
          </cell>
          <cell r="AG371" t="str">
            <v>Shakhke</v>
          </cell>
          <cell r="AH371">
            <v>67</v>
          </cell>
          <cell r="AK371">
            <v>67</v>
          </cell>
          <cell r="AM371">
            <v>67</v>
          </cell>
          <cell r="AP371">
            <v>1</v>
          </cell>
          <cell r="BG371">
            <v>1</v>
          </cell>
        </row>
        <row r="372">
          <cell r="D372" t="str">
            <v>A21600177</v>
          </cell>
          <cell r="E372" t="str">
            <v>Walat</v>
          </cell>
          <cell r="F372" t="str">
            <v>Hasan</v>
          </cell>
          <cell r="G372" t="str">
            <v>Haji</v>
          </cell>
          <cell r="H372" t="str">
            <v>Male</v>
          </cell>
          <cell r="I372">
            <v>1996</v>
          </cell>
          <cell r="K372" t="str">
            <v>0750 409 4341</v>
          </cell>
          <cell r="L372" t="str">
            <v>0750 457 1592</v>
          </cell>
          <cell r="N372" t="str">
            <v>No</v>
          </cell>
          <cell r="O372" t="str">
            <v>No</v>
          </cell>
          <cell r="P372" t="str">
            <v>Local</v>
          </cell>
          <cell r="Q372" t="str">
            <v>First Year</v>
          </cell>
          <cell r="R372" t="str">
            <v>Regular</v>
          </cell>
          <cell r="T372" t="str">
            <v>Accepted</v>
          </cell>
          <cell r="U372" t="str">
            <v>Withdraw</v>
          </cell>
          <cell r="V372" t="str">
            <v>Spring</v>
          </cell>
          <cell r="W372" t="str">
            <v>2016</v>
          </cell>
          <cell r="Z372" t="str">
            <v>High School</v>
          </cell>
          <cell r="AA372">
            <v>2015</v>
          </cell>
          <cell r="AE372" t="str">
            <v>Kawa</v>
          </cell>
          <cell r="AF372" t="str">
            <v>Duhok</v>
          </cell>
          <cell r="AG372" t="str">
            <v>K.R.O</v>
          </cell>
          <cell r="AH372">
            <v>68</v>
          </cell>
          <cell r="AK372">
            <v>68</v>
          </cell>
          <cell r="AL372">
            <v>1</v>
          </cell>
          <cell r="AM372">
            <v>69</v>
          </cell>
          <cell r="AP372">
            <v>2</v>
          </cell>
          <cell r="AS372">
            <v>1</v>
          </cell>
          <cell r="BG372">
            <v>3</v>
          </cell>
          <cell r="BJ372">
            <v>2</v>
          </cell>
        </row>
        <row r="373">
          <cell r="D373" t="str">
            <v>A21600178</v>
          </cell>
          <cell r="E373" t="str">
            <v>Shelan</v>
          </cell>
          <cell r="F373" t="str">
            <v>Mohammed</v>
          </cell>
          <cell r="G373" t="str">
            <v>Yahya</v>
          </cell>
          <cell r="H373" t="str">
            <v>Female</v>
          </cell>
          <cell r="I373">
            <v>1993</v>
          </cell>
          <cell r="J373" t="str">
            <v>Kurdish</v>
          </cell>
          <cell r="K373" t="str">
            <v>0750 759 5659</v>
          </cell>
          <cell r="L373" t="str">
            <v>0750 497 0551</v>
          </cell>
          <cell r="N373" t="str">
            <v>No</v>
          </cell>
          <cell r="O373" t="str">
            <v>No</v>
          </cell>
          <cell r="P373" t="str">
            <v>Local</v>
          </cell>
          <cell r="Q373" t="str">
            <v>First Year</v>
          </cell>
          <cell r="R373" t="str">
            <v>Regular</v>
          </cell>
          <cell r="T373" t="str">
            <v>Accepted</v>
          </cell>
          <cell r="U373" t="str">
            <v>Withdraw</v>
          </cell>
          <cell r="V373" t="str">
            <v>Spring</v>
          </cell>
          <cell r="W373" t="str">
            <v>2016</v>
          </cell>
          <cell r="Z373" t="str">
            <v>High School</v>
          </cell>
          <cell r="AA373">
            <v>2015</v>
          </cell>
          <cell r="AE373" t="str">
            <v>Home School</v>
          </cell>
          <cell r="AF373" t="str">
            <v>Duhok</v>
          </cell>
          <cell r="AG373" t="str">
            <v>K.R.O</v>
          </cell>
          <cell r="AH373">
            <v>59</v>
          </cell>
          <cell r="AK373">
            <v>59</v>
          </cell>
          <cell r="AM373">
            <v>59</v>
          </cell>
          <cell r="AP373">
            <v>3</v>
          </cell>
          <cell r="BB373">
            <v>1</v>
          </cell>
        </row>
        <row r="374">
          <cell r="D374" t="str">
            <v>A21600179</v>
          </cell>
          <cell r="E374" t="str">
            <v>Shaker</v>
          </cell>
          <cell r="F374" t="str">
            <v>Qasim</v>
          </cell>
          <cell r="G374" t="str">
            <v>Mohammed</v>
          </cell>
          <cell r="H374" t="str">
            <v>Male</v>
          </cell>
          <cell r="I374">
            <v>1993</v>
          </cell>
          <cell r="J374" t="str">
            <v>Kurdish</v>
          </cell>
          <cell r="K374" t="str">
            <v>0750 741 0074</v>
          </cell>
          <cell r="L374" t="str">
            <v>0772 445 4158</v>
          </cell>
          <cell r="N374" t="str">
            <v>No</v>
          </cell>
          <cell r="O374" t="str">
            <v>Yes</v>
          </cell>
          <cell r="P374" t="str">
            <v>Local</v>
          </cell>
          <cell r="Q374" t="str">
            <v>First Year</v>
          </cell>
          <cell r="R374" t="str">
            <v>Martyr's Aid</v>
          </cell>
          <cell r="T374" t="str">
            <v>Accepted</v>
          </cell>
          <cell r="U374">
            <v>0</v>
          </cell>
          <cell r="V374" t="str">
            <v>Spring</v>
          </cell>
          <cell r="W374" t="str">
            <v>2016</v>
          </cell>
          <cell r="Z374" t="str">
            <v>High School</v>
          </cell>
          <cell r="AA374">
            <v>2015</v>
          </cell>
          <cell r="AB374">
            <v>2</v>
          </cell>
          <cell r="AC374">
            <v>1</v>
          </cell>
          <cell r="AD374" t="str">
            <v>Science</v>
          </cell>
          <cell r="AE374" t="str">
            <v>Zanganan</v>
          </cell>
          <cell r="AF374" t="str">
            <v>Duhok</v>
          </cell>
          <cell r="AG374" t="str">
            <v>Bardarash</v>
          </cell>
          <cell r="AH374">
            <v>58</v>
          </cell>
          <cell r="AK374">
            <v>58</v>
          </cell>
          <cell r="AM374">
            <v>58</v>
          </cell>
          <cell r="AP374">
            <v>1</v>
          </cell>
          <cell r="AZ374">
            <v>1</v>
          </cell>
        </row>
        <row r="375">
          <cell r="D375" t="str">
            <v>A21600180</v>
          </cell>
          <cell r="E375" t="str">
            <v>Salar</v>
          </cell>
          <cell r="F375" t="str">
            <v>Othman</v>
          </cell>
          <cell r="G375" t="str">
            <v>MohamedAmin</v>
          </cell>
          <cell r="H375" t="str">
            <v>Male</v>
          </cell>
          <cell r="I375">
            <v>1991</v>
          </cell>
          <cell r="K375" t="str">
            <v>0750 486 3841</v>
          </cell>
          <cell r="L375" t="str">
            <v>0750 457 3975</v>
          </cell>
          <cell r="N375" t="str">
            <v>Yes</v>
          </cell>
          <cell r="O375" t="str">
            <v>No</v>
          </cell>
          <cell r="P375" t="str">
            <v>Local</v>
          </cell>
          <cell r="Q375" t="str">
            <v>First Year</v>
          </cell>
          <cell r="R375" t="str">
            <v>Regular</v>
          </cell>
          <cell r="T375" t="str">
            <v>Accepted</v>
          </cell>
          <cell r="U375">
            <v>0</v>
          </cell>
          <cell r="V375" t="str">
            <v>Spring</v>
          </cell>
          <cell r="W375" t="str">
            <v>2016</v>
          </cell>
          <cell r="Z375" t="str">
            <v>High School</v>
          </cell>
          <cell r="AA375">
            <v>2010</v>
          </cell>
          <cell r="AE375" t="str">
            <v>Taakhi</v>
          </cell>
          <cell r="AF375" t="str">
            <v>Duhok</v>
          </cell>
          <cell r="AG375" t="str">
            <v>K.R.O</v>
          </cell>
          <cell r="AH375">
            <v>66</v>
          </cell>
          <cell r="AK375">
            <v>66</v>
          </cell>
          <cell r="AM375">
            <v>66</v>
          </cell>
          <cell r="AW375">
            <v>1</v>
          </cell>
        </row>
        <row r="376">
          <cell r="D376" t="str">
            <v>A21600181</v>
          </cell>
          <cell r="E376" t="str">
            <v>Alan</v>
          </cell>
          <cell r="F376" t="str">
            <v>Jameel</v>
          </cell>
          <cell r="G376" t="str">
            <v>Shaheen</v>
          </cell>
          <cell r="H376" t="str">
            <v>Male</v>
          </cell>
          <cell r="I376">
            <v>1988</v>
          </cell>
          <cell r="J376" t="str">
            <v>Kurdish</v>
          </cell>
          <cell r="K376" t="str">
            <v>0750 446 0611</v>
          </cell>
          <cell r="L376" t="str">
            <v>0750 332 3320</v>
          </cell>
          <cell r="N376" t="str">
            <v>No</v>
          </cell>
          <cell r="O376" t="str">
            <v>No</v>
          </cell>
          <cell r="P376" t="str">
            <v>Local</v>
          </cell>
          <cell r="Q376" t="str">
            <v>First Year</v>
          </cell>
          <cell r="R376" t="str">
            <v>Regular</v>
          </cell>
          <cell r="T376" t="str">
            <v>Accepted</v>
          </cell>
          <cell r="U376">
            <v>0</v>
          </cell>
          <cell r="V376" t="str">
            <v>Spring</v>
          </cell>
          <cell r="W376" t="str">
            <v>2016</v>
          </cell>
          <cell r="Z376" t="str">
            <v>High School</v>
          </cell>
          <cell r="AA376">
            <v>2014</v>
          </cell>
          <cell r="AC376">
            <v>1</v>
          </cell>
          <cell r="AD376" t="str">
            <v>Arts</v>
          </cell>
          <cell r="AE376" t="str">
            <v>Home School</v>
          </cell>
          <cell r="AF376" t="str">
            <v>Zakho</v>
          </cell>
          <cell r="AG376" t="str">
            <v>Shabanik</v>
          </cell>
          <cell r="AH376">
            <v>60</v>
          </cell>
          <cell r="AK376">
            <v>60</v>
          </cell>
          <cell r="AM376">
            <v>60</v>
          </cell>
          <cell r="AP376">
            <v>1</v>
          </cell>
          <cell r="BI376">
            <v>3</v>
          </cell>
          <cell r="BJ376">
            <v>1</v>
          </cell>
          <cell r="BK376">
            <v>2</v>
          </cell>
        </row>
        <row r="377">
          <cell r="D377" t="str">
            <v>A21600182</v>
          </cell>
          <cell r="E377" t="str">
            <v>Rand</v>
          </cell>
          <cell r="F377" t="str">
            <v>Nawzad</v>
          </cell>
          <cell r="G377" t="str">
            <v>Qasim</v>
          </cell>
          <cell r="H377" t="str">
            <v>Female</v>
          </cell>
          <cell r="K377" t="str">
            <v>0750 839 1996</v>
          </cell>
          <cell r="L377" t="str">
            <v>0750 411 3343</v>
          </cell>
          <cell r="N377" t="str">
            <v>Yes</v>
          </cell>
          <cell r="O377" t="str">
            <v>No</v>
          </cell>
          <cell r="P377" t="str">
            <v>Local</v>
          </cell>
          <cell r="Q377" t="str">
            <v>First Year</v>
          </cell>
          <cell r="R377" t="str">
            <v>Political Prisoner</v>
          </cell>
          <cell r="T377" t="str">
            <v>Pending</v>
          </cell>
          <cell r="V377" t="str">
            <v>Spring</v>
          </cell>
          <cell r="W377" t="str">
            <v>2016</v>
          </cell>
          <cell r="Z377" t="str">
            <v>High School</v>
          </cell>
          <cell r="AA377">
            <v>2015</v>
          </cell>
          <cell r="AE377" t="str">
            <v>Layla Qasim</v>
          </cell>
          <cell r="AF377" t="str">
            <v>Duhok</v>
          </cell>
          <cell r="AG377" t="str">
            <v>Malta</v>
          </cell>
          <cell r="AH377">
            <v>75</v>
          </cell>
          <cell r="AK377">
            <v>75</v>
          </cell>
          <cell r="AM377">
            <v>75</v>
          </cell>
          <cell r="AQ377">
            <v>1</v>
          </cell>
        </row>
        <row r="378">
          <cell r="D378" t="str">
            <v>A21600183</v>
          </cell>
          <cell r="E378" t="str">
            <v>Ayin</v>
          </cell>
          <cell r="F378" t="str">
            <v>M.Bahaaddin</v>
          </cell>
          <cell r="G378" t="str">
            <v>Hussein</v>
          </cell>
          <cell r="H378" t="str">
            <v>Female</v>
          </cell>
          <cell r="I378">
            <v>1990</v>
          </cell>
          <cell r="K378" t="str">
            <v>0751 020 1084</v>
          </cell>
          <cell r="L378" t="str">
            <v>0750 383 9471</v>
          </cell>
          <cell r="N378" t="str">
            <v>No</v>
          </cell>
          <cell r="O378" t="str">
            <v>No</v>
          </cell>
          <cell r="P378" t="str">
            <v>International</v>
          </cell>
          <cell r="Q378" t="str">
            <v>First Year</v>
          </cell>
          <cell r="R378" t="str">
            <v>Regular</v>
          </cell>
          <cell r="T378" t="str">
            <v>Accepted</v>
          </cell>
          <cell r="U378">
            <v>0</v>
          </cell>
          <cell r="V378" t="str">
            <v>Spring</v>
          </cell>
          <cell r="W378" t="str">
            <v>2016</v>
          </cell>
          <cell r="Z378" t="str">
            <v>High School</v>
          </cell>
          <cell r="AA378">
            <v>2009</v>
          </cell>
          <cell r="AE378" t="str">
            <v>Yaman</v>
          </cell>
          <cell r="AF378" t="str">
            <v>Duhok</v>
          </cell>
          <cell r="AG378" t="str">
            <v>Shakhke</v>
          </cell>
          <cell r="AH378">
            <v>69.599999999999994</v>
          </cell>
          <cell r="AK378">
            <v>69.599999999999994</v>
          </cell>
          <cell r="AM378">
            <v>69.599999999999994</v>
          </cell>
          <cell r="AW378">
            <v>1</v>
          </cell>
        </row>
        <row r="379">
          <cell r="D379" t="str">
            <v>A21600184</v>
          </cell>
          <cell r="E379" t="str">
            <v>Azad</v>
          </cell>
          <cell r="F379" t="str">
            <v>Rajab</v>
          </cell>
          <cell r="G379" t="str">
            <v>Ibrahim</v>
          </cell>
          <cell r="H379" t="str">
            <v>Male</v>
          </cell>
          <cell r="I379">
            <v>1996</v>
          </cell>
          <cell r="K379" t="str">
            <v>0750 413 0229</v>
          </cell>
          <cell r="L379" t="str">
            <v>0750 459 7256</v>
          </cell>
          <cell r="N379" t="str">
            <v>No</v>
          </cell>
          <cell r="O379" t="str">
            <v>No</v>
          </cell>
          <cell r="P379" t="str">
            <v>Local</v>
          </cell>
          <cell r="Q379" t="str">
            <v>First Year</v>
          </cell>
          <cell r="R379" t="str">
            <v>Regular</v>
          </cell>
          <cell r="T379" t="str">
            <v>Accepted</v>
          </cell>
          <cell r="U379">
            <v>0</v>
          </cell>
          <cell r="V379" t="str">
            <v>Spring</v>
          </cell>
          <cell r="W379" t="str">
            <v>2016</v>
          </cell>
          <cell r="Z379" t="str">
            <v>High School</v>
          </cell>
          <cell r="AA379">
            <v>2015</v>
          </cell>
          <cell r="AE379" t="str">
            <v>SadiqBahaadeen</v>
          </cell>
          <cell r="AF379" t="str">
            <v>Duhok</v>
          </cell>
          <cell r="AG379" t="str">
            <v>Malta</v>
          </cell>
          <cell r="AH379">
            <v>60</v>
          </cell>
          <cell r="AK379">
            <v>60</v>
          </cell>
          <cell r="AL379">
            <v>1</v>
          </cell>
          <cell r="AM379">
            <v>61</v>
          </cell>
          <cell r="AP379">
            <v>3</v>
          </cell>
          <cell r="AW379">
            <v>2</v>
          </cell>
          <cell r="BG379">
            <v>1</v>
          </cell>
          <cell r="BJ379">
            <v>3</v>
          </cell>
        </row>
        <row r="380">
          <cell r="D380" t="str">
            <v>A21600185</v>
          </cell>
          <cell r="E380" t="str">
            <v>Reman</v>
          </cell>
          <cell r="F380" t="str">
            <v>Younis</v>
          </cell>
          <cell r="G380" t="str">
            <v>MohammedSaid</v>
          </cell>
          <cell r="H380" t="str">
            <v>Female</v>
          </cell>
          <cell r="I380">
            <v>1993</v>
          </cell>
          <cell r="J380" t="str">
            <v>Kurdish</v>
          </cell>
          <cell r="K380" t="str">
            <v>0750 716 5982</v>
          </cell>
          <cell r="L380" t="str">
            <v>0750 408 8886</v>
          </cell>
          <cell r="N380" t="str">
            <v>No</v>
          </cell>
          <cell r="O380" t="str">
            <v>No</v>
          </cell>
          <cell r="P380" t="str">
            <v>Local</v>
          </cell>
          <cell r="Q380" t="str">
            <v>First Year</v>
          </cell>
          <cell r="R380" t="str">
            <v>Political Prisoner</v>
          </cell>
          <cell r="T380" t="str">
            <v>Accepted</v>
          </cell>
          <cell r="V380" t="str">
            <v>Spring</v>
          </cell>
          <cell r="W380" t="str">
            <v>2016</v>
          </cell>
          <cell r="Z380" t="str">
            <v>High School</v>
          </cell>
          <cell r="AA380">
            <v>2015</v>
          </cell>
          <cell r="AB380">
            <v>1</v>
          </cell>
          <cell r="AC380">
            <v>2</v>
          </cell>
          <cell r="AD380" t="str">
            <v>Arts</v>
          </cell>
          <cell r="AE380" t="str">
            <v>Buhadar</v>
          </cell>
          <cell r="AF380" t="str">
            <v>Duhok</v>
          </cell>
          <cell r="AG380" t="str">
            <v>Dumiz</v>
          </cell>
          <cell r="AH380">
            <v>59</v>
          </cell>
          <cell r="AK380">
            <v>59</v>
          </cell>
          <cell r="AM380">
            <v>59</v>
          </cell>
          <cell r="BB380">
            <v>1</v>
          </cell>
        </row>
        <row r="381">
          <cell r="D381" t="str">
            <v>A21600186</v>
          </cell>
          <cell r="E381" t="str">
            <v>Tiroj</v>
          </cell>
          <cell r="F381" t="str">
            <v>Kamal</v>
          </cell>
          <cell r="G381" t="str">
            <v>Hassan</v>
          </cell>
          <cell r="H381" t="str">
            <v>Female</v>
          </cell>
          <cell r="I381">
            <v>1978</v>
          </cell>
          <cell r="K381" t="str">
            <v>0750 445 4415</v>
          </cell>
          <cell r="L381" t="str">
            <v>0031 611 394455</v>
          </cell>
          <cell r="N381" t="str">
            <v>No</v>
          </cell>
          <cell r="O381" t="str">
            <v>No</v>
          </cell>
          <cell r="P381" t="str">
            <v>Local</v>
          </cell>
          <cell r="Q381" t="str">
            <v>First Year</v>
          </cell>
          <cell r="R381" t="str">
            <v>Regular</v>
          </cell>
          <cell r="T381" t="str">
            <v>Accepted</v>
          </cell>
          <cell r="U381">
            <v>0</v>
          </cell>
          <cell r="V381" t="str">
            <v>Spring</v>
          </cell>
          <cell r="W381" t="str">
            <v>2016</v>
          </cell>
          <cell r="Z381" t="str">
            <v>High School</v>
          </cell>
          <cell r="AA381">
            <v>2014</v>
          </cell>
          <cell r="AE381" t="str">
            <v>Home School</v>
          </cell>
          <cell r="AF381" t="str">
            <v>Duhok</v>
          </cell>
          <cell r="AG381" t="str">
            <v>Zari Land</v>
          </cell>
          <cell r="AH381">
            <v>55</v>
          </cell>
          <cell r="AK381">
            <v>55</v>
          </cell>
          <cell r="AM381">
            <v>55</v>
          </cell>
          <cell r="BB381">
            <v>1</v>
          </cell>
        </row>
        <row r="382">
          <cell r="D382" t="str">
            <v>A21600187</v>
          </cell>
          <cell r="E382" t="str">
            <v>Karoj</v>
          </cell>
          <cell r="F382" t="str">
            <v>Salam</v>
          </cell>
          <cell r="G382" t="str">
            <v>Mohammad</v>
          </cell>
          <cell r="H382" t="str">
            <v>Male</v>
          </cell>
          <cell r="I382">
            <v>1995</v>
          </cell>
          <cell r="J382" t="str">
            <v>Kurdish</v>
          </cell>
          <cell r="K382" t="str">
            <v>0750 885 4241</v>
          </cell>
          <cell r="L382" t="str">
            <v>0750 450 4090</v>
          </cell>
          <cell r="N382" t="str">
            <v>No</v>
          </cell>
          <cell r="O382" t="str">
            <v>No</v>
          </cell>
          <cell r="P382" t="str">
            <v>Local</v>
          </cell>
          <cell r="Q382" t="str">
            <v>First Year</v>
          </cell>
          <cell r="R382" t="str">
            <v>Regular</v>
          </cell>
          <cell r="T382" t="str">
            <v>Accepted</v>
          </cell>
          <cell r="U382">
            <v>0</v>
          </cell>
          <cell r="V382" t="str">
            <v>Spring</v>
          </cell>
          <cell r="W382" t="str">
            <v>2016</v>
          </cell>
          <cell r="Z382" t="str">
            <v>High School</v>
          </cell>
          <cell r="AA382">
            <v>2015</v>
          </cell>
          <cell r="AB382">
            <v>2</v>
          </cell>
          <cell r="AC382">
            <v>2</v>
          </cell>
          <cell r="AD382" t="str">
            <v>Science</v>
          </cell>
          <cell r="AE382" t="str">
            <v>Galy</v>
          </cell>
          <cell r="AF382" t="str">
            <v>Zakho</v>
          </cell>
          <cell r="AG382" t="str">
            <v>Takhe shiqa</v>
          </cell>
          <cell r="AH382">
            <v>63.8</v>
          </cell>
          <cell r="AK382">
            <v>63.8</v>
          </cell>
          <cell r="AM382">
            <v>63.8</v>
          </cell>
          <cell r="AP382">
            <v>2</v>
          </cell>
          <cell r="AX382">
            <v>2</v>
          </cell>
          <cell r="BJ382">
            <v>1</v>
          </cell>
        </row>
        <row r="383">
          <cell r="D383" t="str">
            <v>A21600188</v>
          </cell>
          <cell r="E383" t="str">
            <v>Ahmed</v>
          </cell>
          <cell r="F383" t="str">
            <v>Kamaran</v>
          </cell>
          <cell r="G383" t="str">
            <v>Mohammed</v>
          </cell>
          <cell r="H383" t="str">
            <v>Male</v>
          </cell>
          <cell r="I383">
            <v>1996</v>
          </cell>
          <cell r="K383" t="str">
            <v>0750 340 4656</v>
          </cell>
          <cell r="N383" t="str">
            <v>No</v>
          </cell>
          <cell r="O383" t="str">
            <v>No</v>
          </cell>
          <cell r="P383" t="str">
            <v>Local</v>
          </cell>
          <cell r="Q383" t="str">
            <v>First Year</v>
          </cell>
          <cell r="R383" t="str">
            <v>Regular</v>
          </cell>
          <cell r="T383" t="str">
            <v>Accepted</v>
          </cell>
          <cell r="U383">
            <v>0</v>
          </cell>
          <cell r="V383" t="str">
            <v>Spring</v>
          </cell>
          <cell r="W383" t="str">
            <v>2016</v>
          </cell>
          <cell r="Z383" t="str">
            <v>High School</v>
          </cell>
          <cell r="AA383">
            <v>2015</v>
          </cell>
          <cell r="AE383" t="str">
            <v>Kurdayati</v>
          </cell>
          <cell r="AF383" t="str">
            <v>Hawler</v>
          </cell>
          <cell r="AG383" t="str">
            <v>Brayate</v>
          </cell>
          <cell r="AH383">
            <v>54</v>
          </cell>
          <cell r="AK383">
            <v>54</v>
          </cell>
          <cell r="AL383">
            <v>1</v>
          </cell>
          <cell r="AM383">
            <v>55</v>
          </cell>
          <cell r="BB383">
            <v>1</v>
          </cell>
        </row>
        <row r="384">
          <cell r="D384" t="str">
            <v>A21600189</v>
          </cell>
          <cell r="E384" t="str">
            <v>Mohammed</v>
          </cell>
          <cell r="F384" t="str">
            <v>Abdulrahman</v>
          </cell>
          <cell r="G384" t="str">
            <v>M.Ali</v>
          </cell>
          <cell r="H384" t="str">
            <v>Male</v>
          </cell>
          <cell r="I384">
            <v>1996</v>
          </cell>
          <cell r="J384" t="str">
            <v>Kurdish</v>
          </cell>
          <cell r="K384" t="str">
            <v>0750 738 6077</v>
          </cell>
          <cell r="L384" t="str">
            <v>0750 499 7378</v>
          </cell>
          <cell r="N384" t="str">
            <v>No</v>
          </cell>
          <cell r="O384" t="str">
            <v>No</v>
          </cell>
          <cell r="P384" t="str">
            <v>Local</v>
          </cell>
          <cell r="Q384" t="str">
            <v>First Year</v>
          </cell>
          <cell r="R384" t="str">
            <v>Regular</v>
          </cell>
          <cell r="T384" t="str">
            <v>Accepted</v>
          </cell>
          <cell r="U384">
            <v>0</v>
          </cell>
          <cell r="V384" t="str">
            <v>Spring</v>
          </cell>
          <cell r="W384" t="str">
            <v>2016</v>
          </cell>
          <cell r="Z384" t="str">
            <v>High School</v>
          </cell>
          <cell r="AA384">
            <v>2015</v>
          </cell>
          <cell r="AB384">
            <v>2</v>
          </cell>
          <cell r="AC384">
            <v>1</v>
          </cell>
          <cell r="AD384" t="str">
            <v>Science</v>
          </cell>
          <cell r="AE384" t="str">
            <v>Taakhi</v>
          </cell>
          <cell r="AF384" t="str">
            <v>Duhok</v>
          </cell>
          <cell r="AG384" t="str">
            <v>Grebase</v>
          </cell>
          <cell r="AH384">
            <v>61.7</v>
          </cell>
          <cell r="AK384">
            <v>61.7</v>
          </cell>
          <cell r="AL384">
            <v>3</v>
          </cell>
          <cell r="AM384">
            <v>64.7</v>
          </cell>
          <cell r="AP384">
            <v>1</v>
          </cell>
          <cell r="BD384">
            <v>1</v>
          </cell>
        </row>
        <row r="385">
          <cell r="D385" t="str">
            <v>A21600190</v>
          </cell>
          <cell r="E385" t="str">
            <v>Araz</v>
          </cell>
          <cell r="F385" t="str">
            <v>Kawa</v>
          </cell>
          <cell r="G385" t="str">
            <v>Mahmood</v>
          </cell>
          <cell r="H385" t="str">
            <v>Male</v>
          </cell>
          <cell r="I385">
            <v>1996</v>
          </cell>
          <cell r="J385" t="str">
            <v>Kurdish</v>
          </cell>
          <cell r="K385" t="str">
            <v>0750 899 7744</v>
          </cell>
          <cell r="L385" t="str">
            <v>0750 449 6044</v>
          </cell>
          <cell r="N385" t="str">
            <v>No</v>
          </cell>
          <cell r="O385" t="str">
            <v>No</v>
          </cell>
          <cell r="P385" t="str">
            <v>Local</v>
          </cell>
          <cell r="Q385" t="str">
            <v>First Year</v>
          </cell>
          <cell r="R385" t="str">
            <v>Regular</v>
          </cell>
          <cell r="T385" t="str">
            <v>Accepted</v>
          </cell>
          <cell r="U385">
            <v>0</v>
          </cell>
          <cell r="V385" t="str">
            <v>Spring</v>
          </cell>
          <cell r="W385" t="str">
            <v>2016</v>
          </cell>
          <cell r="Z385" t="str">
            <v>High School</v>
          </cell>
          <cell r="AA385">
            <v>2015</v>
          </cell>
          <cell r="AE385" t="str">
            <v>Kawa</v>
          </cell>
          <cell r="AF385" t="str">
            <v>Duhok</v>
          </cell>
          <cell r="AG385" t="str">
            <v>Baroshke</v>
          </cell>
          <cell r="AH385">
            <v>72.8</v>
          </cell>
          <cell r="AK385">
            <v>72.8</v>
          </cell>
          <cell r="AL385">
            <v>1</v>
          </cell>
          <cell r="AM385">
            <v>73.8</v>
          </cell>
          <cell r="AP385">
            <v>2</v>
          </cell>
          <cell r="BG385">
            <v>1</v>
          </cell>
        </row>
        <row r="386">
          <cell r="D386" t="str">
            <v>A21600191</v>
          </cell>
          <cell r="E386" t="str">
            <v>Hakar</v>
          </cell>
          <cell r="F386" t="str">
            <v>Subhi</v>
          </cell>
          <cell r="G386" t="str">
            <v>Islam</v>
          </cell>
          <cell r="H386" t="str">
            <v>Male</v>
          </cell>
          <cell r="I386">
            <v>1996</v>
          </cell>
          <cell r="K386" t="str">
            <v>0750 812 4373</v>
          </cell>
          <cell r="N386" t="str">
            <v>No</v>
          </cell>
          <cell r="O386" t="str">
            <v>No</v>
          </cell>
          <cell r="P386" t="str">
            <v>Local</v>
          </cell>
          <cell r="Q386" t="str">
            <v>First Year</v>
          </cell>
          <cell r="R386" t="str">
            <v>Regular</v>
          </cell>
          <cell r="T386" t="str">
            <v>Accepted</v>
          </cell>
          <cell r="U386" t="str">
            <v>Withdraw</v>
          </cell>
          <cell r="V386" t="str">
            <v>Spring</v>
          </cell>
          <cell r="W386" t="str">
            <v>2016</v>
          </cell>
          <cell r="Z386" t="str">
            <v>High School</v>
          </cell>
          <cell r="AA386">
            <v>2015</v>
          </cell>
          <cell r="AE386" t="str">
            <v>Tanahi</v>
          </cell>
          <cell r="AF386" t="str">
            <v>Duhok</v>
          </cell>
          <cell r="AG386" t="str">
            <v>Tanahi</v>
          </cell>
          <cell r="AH386">
            <v>57</v>
          </cell>
          <cell r="AK386">
            <v>57</v>
          </cell>
          <cell r="AL386">
            <v>1.71</v>
          </cell>
          <cell r="AM386">
            <v>58.71</v>
          </cell>
          <cell r="AP386">
            <v>1</v>
          </cell>
          <cell r="BD386">
            <v>1</v>
          </cell>
          <cell r="BG386">
            <v>2</v>
          </cell>
        </row>
        <row r="387">
          <cell r="D387" t="str">
            <v>A21600192</v>
          </cell>
          <cell r="E387" t="str">
            <v>Shaheed</v>
          </cell>
          <cell r="F387" t="str">
            <v>Bishar</v>
          </cell>
          <cell r="G387" t="str">
            <v>Ahmed</v>
          </cell>
          <cell r="H387" t="str">
            <v>Male</v>
          </cell>
          <cell r="I387">
            <v>1996</v>
          </cell>
          <cell r="J387" t="str">
            <v>Kurdish</v>
          </cell>
          <cell r="K387" t="str">
            <v>0782 247 4695</v>
          </cell>
          <cell r="L387" t="str">
            <v>0750 756 1061</v>
          </cell>
          <cell r="N387" t="str">
            <v>Yes</v>
          </cell>
          <cell r="O387" t="str">
            <v>No</v>
          </cell>
          <cell r="P387" t="str">
            <v>Local</v>
          </cell>
          <cell r="Q387" t="str">
            <v>First Year</v>
          </cell>
          <cell r="R387" t="str">
            <v>Martyr's Aid</v>
          </cell>
          <cell r="T387" t="str">
            <v>Accepted</v>
          </cell>
          <cell r="U387">
            <v>0</v>
          </cell>
          <cell r="V387" t="str">
            <v>Spring</v>
          </cell>
          <cell r="W387" t="str">
            <v>2016</v>
          </cell>
          <cell r="Z387" t="str">
            <v>High School</v>
          </cell>
          <cell r="AA387">
            <v>2015</v>
          </cell>
          <cell r="AB387">
            <v>2</v>
          </cell>
          <cell r="AC387">
            <v>1</v>
          </cell>
          <cell r="AD387" t="str">
            <v>Arts</v>
          </cell>
          <cell r="AE387" t="str">
            <v>Qasrok</v>
          </cell>
          <cell r="AF387" t="str">
            <v>Duhok</v>
          </cell>
          <cell r="AG387" t="str">
            <v>Qasrok</v>
          </cell>
          <cell r="AH387">
            <v>74.7</v>
          </cell>
          <cell r="AK387">
            <v>74.7</v>
          </cell>
          <cell r="AL387">
            <v>1.71</v>
          </cell>
          <cell r="AM387">
            <v>76.41</v>
          </cell>
          <cell r="AP387">
            <v>1</v>
          </cell>
          <cell r="BJ387">
            <v>1</v>
          </cell>
        </row>
        <row r="388">
          <cell r="D388" t="str">
            <v>A21600193</v>
          </cell>
          <cell r="E388" t="str">
            <v>Sarhad</v>
          </cell>
          <cell r="F388" t="str">
            <v>Naif</v>
          </cell>
          <cell r="G388" t="str">
            <v>MohammedHassan</v>
          </cell>
          <cell r="H388" t="str">
            <v>Male</v>
          </cell>
          <cell r="I388">
            <v>1993</v>
          </cell>
          <cell r="K388" t="str">
            <v>0750 394 6218</v>
          </cell>
          <cell r="L388" t="str">
            <v>0750 458 3268</v>
          </cell>
          <cell r="N388" t="str">
            <v>Yes</v>
          </cell>
          <cell r="O388" t="str">
            <v>No</v>
          </cell>
          <cell r="P388" t="str">
            <v>Local</v>
          </cell>
          <cell r="Q388" t="str">
            <v>First Year</v>
          </cell>
          <cell r="R388" t="str">
            <v>Martyr's Aid</v>
          </cell>
          <cell r="T388" t="str">
            <v>Accepted</v>
          </cell>
          <cell r="U388">
            <v>0</v>
          </cell>
          <cell r="V388" t="str">
            <v>Spring</v>
          </cell>
          <cell r="W388" t="str">
            <v>2016</v>
          </cell>
          <cell r="Z388" t="str">
            <v>High School</v>
          </cell>
          <cell r="AA388">
            <v>2015</v>
          </cell>
          <cell r="AE388" t="str">
            <v>Amad</v>
          </cell>
          <cell r="AF388" t="str">
            <v>Duhok</v>
          </cell>
          <cell r="AG388" t="str">
            <v>Shekhan</v>
          </cell>
          <cell r="AH388">
            <v>67</v>
          </cell>
          <cell r="AK388">
            <v>67</v>
          </cell>
          <cell r="AL388">
            <v>3</v>
          </cell>
          <cell r="AM388">
            <v>70</v>
          </cell>
          <cell r="AP388">
            <v>1</v>
          </cell>
          <cell r="BG388">
            <v>1</v>
          </cell>
        </row>
        <row r="389">
          <cell r="D389" t="str">
            <v>A21600194</v>
          </cell>
          <cell r="E389" t="str">
            <v>Midya</v>
          </cell>
          <cell r="F389" t="str">
            <v>Haji</v>
          </cell>
          <cell r="G389" t="str">
            <v>Hasan</v>
          </cell>
          <cell r="H389" t="str">
            <v>Female</v>
          </cell>
          <cell r="I389">
            <v>1997</v>
          </cell>
          <cell r="J389" t="str">
            <v>Kurdish</v>
          </cell>
          <cell r="K389" t="str">
            <v>0750 451 6821</v>
          </cell>
          <cell r="L389" t="str">
            <v>0750 458 6049</v>
          </cell>
          <cell r="N389" t="str">
            <v>Yes</v>
          </cell>
          <cell r="O389" t="str">
            <v>No</v>
          </cell>
          <cell r="P389" t="str">
            <v>Local</v>
          </cell>
          <cell r="Q389" t="str">
            <v>First Year</v>
          </cell>
          <cell r="R389" t="str">
            <v>Regular</v>
          </cell>
          <cell r="T389" t="str">
            <v>Accepted</v>
          </cell>
          <cell r="U389">
            <v>0</v>
          </cell>
          <cell r="V389" t="str">
            <v>Spring</v>
          </cell>
          <cell r="W389" t="str">
            <v>2016</v>
          </cell>
          <cell r="Z389" t="str">
            <v>High School</v>
          </cell>
          <cell r="AA389">
            <v>2015</v>
          </cell>
          <cell r="AB389">
            <v>1</v>
          </cell>
          <cell r="AC389">
            <v>2</v>
          </cell>
          <cell r="AD389" t="str">
            <v>Arts</v>
          </cell>
          <cell r="AE389" t="str">
            <v>Komata</v>
          </cell>
          <cell r="AF389" t="str">
            <v>Duhok</v>
          </cell>
          <cell r="AG389" t="str">
            <v>Mserik</v>
          </cell>
          <cell r="AH389">
            <v>60.5</v>
          </cell>
          <cell r="AK389">
            <v>60.5</v>
          </cell>
          <cell r="AL389">
            <v>3</v>
          </cell>
          <cell r="AM389">
            <v>63.5</v>
          </cell>
          <cell r="AP389">
            <v>2</v>
          </cell>
          <cell r="BJ389">
            <v>1</v>
          </cell>
        </row>
        <row r="390">
          <cell r="D390" t="str">
            <v>A21600195</v>
          </cell>
          <cell r="E390" t="str">
            <v>Araz</v>
          </cell>
          <cell r="F390" t="str">
            <v>Faris</v>
          </cell>
          <cell r="G390" t="str">
            <v>Hazim</v>
          </cell>
          <cell r="H390" t="str">
            <v>Male</v>
          </cell>
          <cell r="I390">
            <v>1995</v>
          </cell>
          <cell r="K390" t="str">
            <v>0750 437 3070</v>
          </cell>
          <cell r="L390" t="str">
            <v>0750 756 1909</v>
          </cell>
          <cell r="N390" t="str">
            <v>No</v>
          </cell>
          <cell r="O390" t="str">
            <v>No</v>
          </cell>
          <cell r="P390" t="str">
            <v>Local</v>
          </cell>
          <cell r="Q390" t="str">
            <v>First Year</v>
          </cell>
          <cell r="R390" t="str">
            <v>Political Prisoner</v>
          </cell>
          <cell r="T390" t="str">
            <v>Accepted</v>
          </cell>
          <cell r="U390" t="str">
            <v>Withdraw</v>
          </cell>
          <cell r="V390" t="str">
            <v>Spring</v>
          </cell>
          <cell r="W390" t="str">
            <v>2016</v>
          </cell>
          <cell r="Z390" t="str">
            <v>High School</v>
          </cell>
          <cell r="AA390">
            <v>2015</v>
          </cell>
          <cell r="AE390" t="str">
            <v>Taakhi</v>
          </cell>
          <cell r="AF390" t="str">
            <v>Duhok</v>
          </cell>
          <cell r="AG390" t="str">
            <v>Grebase</v>
          </cell>
          <cell r="AH390">
            <v>59.6</v>
          </cell>
          <cell r="AK390">
            <v>59.6</v>
          </cell>
          <cell r="AL390">
            <v>0.81</v>
          </cell>
          <cell r="AM390">
            <v>60.410000000000004</v>
          </cell>
          <cell r="BG390">
            <v>1</v>
          </cell>
        </row>
        <row r="391">
          <cell r="D391" t="str">
            <v>A21600196</v>
          </cell>
          <cell r="E391" t="str">
            <v>Furat</v>
          </cell>
          <cell r="F391" t="str">
            <v>Kayfullah</v>
          </cell>
          <cell r="G391" t="str">
            <v>Tayar</v>
          </cell>
          <cell r="H391" t="str">
            <v>Male</v>
          </cell>
          <cell r="I391">
            <v>1996</v>
          </cell>
          <cell r="J391" t="str">
            <v>Kurdish</v>
          </cell>
          <cell r="K391" t="str">
            <v>0750 742 4260</v>
          </cell>
          <cell r="L391" t="str">
            <v>0750 440 1000</v>
          </cell>
          <cell r="N391" t="str">
            <v>No</v>
          </cell>
          <cell r="O391" t="str">
            <v>No</v>
          </cell>
          <cell r="P391" t="str">
            <v>Local</v>
          </cell>
          <cell r="Q391" t="str">
            <v>First Year</v>
          </cell>
          <cell r="R391" t="str">
            <v>Regular</v>
          </cell>
          <cell r="T391" t="str">
            <v>Accepted</v>
          </cell>
          <cell r="U391">
            <v>0</v>
          </cell>
          <cell r="V391" t="str">
            <v>Spring</v>
          </cell>
          <cell r="W391" t="str">
            <v>2016</v>
          </cell>
          <cell r="Z391" t="str">
            <v>High School</v>
          </cell>
          <cell r="AA391">
            <v>2015</v>
          </cell>
          <cell r="AB391">
            <v>2</v>
          </cell>
          <cell r="AC391">
            <v>2</v>
          </cell>
          <cell r="AD391" t="str">
            <v>Science</v>
          </cell>
          <cell r="AE391" t="str">
            <v>Tanahi</v>
          </cell>
          <cell r="AF391" t="str">
            <v>Duhok</v>
          </cell>
          <cell r="AG391" t="str">
            <v>Kolana Na</v>
          </cell>
          <cell r="AH391">
            <v>63.7</v>
          </cell>
          <cell r="AI391">
            <v>57.86</v>
          </cell>
          <cell r="AJ391">
            <v>56.72</v>
          </cell>
          <cell r="AK391">
            <v>63.7</v>
          </cell>
          <cell r="AL391">
            <v>0.81</v>
          </cell>
          <cell r="AM391">
            <v>64.510000000000005</v>
          </cell>
          <cell r="AP391">
            <v>1</v>
          </cell>
          <cell r="BJ391">
            <v>1</v>
          </cell>
        </row>
        <row r="392">
          <cell r="D392" t="str">
            <v>A21600197</v>
          </cell>
          <cell r="E392" t="str">
            <v>Omed</v>
          </cell>
          <cell r="F392" t="str">
            <v>Adnan</v>
          </cell>
          <cell r="G392" t="str">
            <v>MohammedAli</v>
          </cell>
          <cell r="H392" t="str">
            <v>Male</v>
          </cell>
          <cell r="I392">
            <v>1995</v>
          </cell>
          <cell r="K392" t="str">
            <v>0750 458 4159</v>
          </cell>
          <cell r="L392" t="str">
            <v>0750 371 3773</v>
          </cell>
          <cell r="N392" t="str">
            <v>No</v>
          </cell>
          <cell r="O392" t="str">
            <v>No</v>
          </cell>
          <cell r="P392" t="str">
            <v>Local</v>
          </cell>
          <cell r="Q392" t="str">
            <v>First Year</v>
          </cell>
          <cell r="R392" t="str">
            <v>Regular</v>
          </cell>
          <cell r="T392" t="str">
            <v>Accepted</v>
          </cell>
          <cell r="U392" t="str">
            <v>Withdraw</v>
          </cell>
          <cell r="V392" t="str">
            <v>Spring</v>
          </cell>
          <cell r="W392" t="str">
            <v>2016</v>
          </cell>
          <cell r="Z392" t="str">
            <v>High School</v>
          </cell>
          <cell r="AA392">
            <v>2015</v>
          </cell>
          <cell r="AE392" t="str">
            <v>Sumel</v>
          </cell>
          <cell r="AF392" t="str">
            <v>Duhok</v>
          </cell>
          <cell r="AG392" t="str">
            <v>Sumel</v>
          </cell>
          <cell r="AH392">
            <v>61.7</v>
          </cell>
          <cell r="AK392">
            <v>61.7</v>
          </cell>
          <cell r="AM392">
            <v>61.7</v>
          </cell>
          <cell r="AP392">
            <v>1</v>
          </cell>
          <cell r="BG392">
            <v>1</v>
          </cell>
        </row>
        <row r="393">
          <cell r="D393" t="str">
            <v>A21600198</v>
          </cell>
          <cell r="E393" t="str">
            <v>Shireen</v>
          </cell>
          <cell r="F393" t="str">
            <v>Subhi</v>
          </cell>
          <cell r="G393" t="str">
            <v>M.Saeed</v>
          </cell>
          <cell r="H393" t="str">
            <v>Female</v>
          </cell>
          <cell r="I393">
            <v>1994</v>
          </cell>
          <cell r="J393" t="str">
            <v>Kurdish</v>
          </cell>
          <cell r="K393" t="str">
            <v>0750 430 0460</v>
          </cell>
          <cell r="L393" t="str">
            <v>0750 161 7025</v>
          </cell>
          <cell r="N393" t="str">
            <v>Yes</v>
          </cell>
          <cell r="O393" t="str">
            <v>No</v>
          </cell>
          <cell r="P393" t="str">
            <v>Local</v>
          </cell>
          <cell r="Q393" t="str">
            <v>First Year</v>
          </cell>
          <cell r="R393" t="str">
            <v>Martyr's Aid</v>
          </cell>
          <cell r="T393" t="str">
            <v>Accepted</v>
          </cell>
          <cell r="U393">
            <v>0</v>
          </cell>
          <cell r="V393" t="str">
            <v>Spring</v>
          </cell>
          <cell r="W393" t="str">
            <v>2016</v>
          </cell>
          <cell r="Z393" t="str">
            <v>High School</v>
          </cell>
          <cell r="AA393">
            <v>2015</v>
          </cell>
          <cell r="AB393">
            <v>2</v>
          </cell>
          <cell r="AC393">
            <v>1</v>
          </cell>
          <cell r="AD393" t="str">
            <v>Arts</v>
          </cell>
          <cell r="AE393" t="str">
            <v>Tanahi</v>
          </cell>
          <cell r="AF393" t="str">
            <v>Duhok</v>
          </cell>
          <cell r="AG393" t="str">
            <v>Tanahi</v>
          </cell>
          <cell r="AH393">
            <v>61.2</v>
          </cell>
          <cell r="AK393">
            <v>61.2</v>
          </cell>
          <cell r="AM393">
            <v>61.2</v>
          </cell>
          <cell r="AP393">
            <v>1</v>
          </cell>
          <cell r="AZ393">
            <v>1</v>
          </cell>
        </row>
        <row r="394">
          <cell r="D394" t="str">
            <v>A21600199</v>
          </cell>
          <cell r="E394" t="str">
            <v>Jivan</v>
          </cell>
          <cell r="F394" t="str">
            <v>Jamal</v>
          </cell>
          <cell r="G394" t="str">
            <v>Haji</v>
          </cell>
          <cell r="H394" t="str">
            <v>Female</v>
          </cell>
          <cell r="I394">
            <v>1996</v>
          </cell>
          <cell r="J394" t="str">
            <v>Kurdish</v>
          </cell>
          <cell r="K394" t="str">
            <v>0750 457 4572</v>
          </cell>
          <cell r="L394" t="str">
            <v>0750 784 0849</v>
          </cell>
          <cell r="N394" t="str">
            <v>Yes</v>
          </cell>
          <cell r="O394" t="str">
            <v>No</v>
          </cell>
          <cell r="P394" t="str">
            <v>Local</v>
          </cell>
          <cell r="Q394" t="str">
            <v>First Year</v>
          </cell>
          <cell r="R394" t="str">
            <v>Martyr's Aid</v>
          </cell>
          <cell r="T394" t="str">
            <v>Accepted</v>
          </cell>
          <cell r="U394">
            <v>0</v>
          </cell>
          <cell r="V394" t="str">
            <v>Spring</v>
          </cell>
          <cell r="W394" t="str">
            <v>2016</v>
          </cell>
          <cell r="Z394" t="str">
            <v>High School</v>
          </cell>
          <cell r="AA394">
            <v>2015</v>
          </cell>
          <cell r="AB394">
            <v>2</v>
          </cell>
          <cell r="AC394">
            <v>2</v>
          </cell>
          <cell r="AD394" t="str">
            <v>Science</v>
          </cell>
          <cell r="AE394" t="str">
            <v>Lavan</v>
          </cell>
          <cell r="AF394" t="str">
            <v>Duhok</v>
          </cell>
          <cell r="AG394" t="str">
            <v>Shakhke</v>
          </cell>
          <cell r="AH394">
            <v>59.7</v>
          </cell>
          <cell r="AK394">
            <v>59.7</v>
          </cell>
          <cell r="AL394">
            <v>0.86</v>
          </cell>
          <cell r="AM394">
            <v>60.56</v>
          </cell>
          <cell r="BJ394">
            <v>1</v>
          </cell>
        </row>
        <row r="395">
          <cell r="D395" t="str">
            <v>A21600200</v>
          </cell>
          <cell r="E395" t="str">
            <v>Rojan</v>
          </cell>
          <cell r="F395" t="str">
            <v>Ali</v>
          </cell>
          <cell r="G395" t="str">
            <v>Salih</v>
          </cell>
          <cell r="H395" t="str">
            <v>Female</v>
          </cell>
          <cell r="I395">
            <v>1996</v>
          </cell>
          <cell r="K395" t="str">
            <v>0750 164 5793</v>
          </cell>
          <cell r="L395" t="str">
            <v>0750 450 9263</v>
          </cell>
          <cell r="N395" t="str">
            <v>No</v>
          </cell>
          <cell r="O395" t="str">
            <v>No</v>
          </cell>
          <cell r="P395" t="str">
            <v>Local</v>
          </cell>
          <cell r="Q395" t="str">
            <v>First Year</v>
          </cell>
          <cell r="R395" t="str">
            <v>Martyr's Aid</v>
          </cell>
          <cell r="T395" t="str">
            <v>Accepted</v>
          </cell>
          <cell r="U395" t="str">
            <v>Withdraw</v>
          </cell>
          <cell r="V395" t="str">
            <v>Spring</v>
          </cell>
          <cell r="W395" t="str">
            <v>2016</v>
          </cell>
          <cell r="Z395" t="str">
            <v>High School</v>
          </cell>
          <cell r="AA395">
            <v>2015</v>
          </cell>
          <cell r="AE395" t="str">
            <v>Zhinda</v>
          </cell>
          <cell r="AF395" t="str">
            <v>Duhok</v>
          </cell>
          <cell r="AG395" t="str">
            <v>K.R.O</v>
          </cell>
          <cell r="AH395">
            <v>62.85</v>
          </cell>
          <cell r="AK395">
            <v>62.85</v>
          </cell>
          <cell r="AL395">
            <v>3</v>
          </cell>
          <cell r="AM395">
            <v>65.849999999999994</v>
          </cell>
          <cell r="BJ395">
            <v>1</v>
          </cell>
        </row>
        <row r="396">
          <cell r="D396" t="str">
            <v>A21600201</v>
          </cell>
          <cell r="E396" t="str">
            <v>Rojan</v>
          </cell>
          <cell r="F396" t="str">
            <v>Cherko</v>
          </cell>
          <cell r="G396" t="str">
            <v>Hashem</v>
          </cell>
          <cell r="H396" t="str">
            <v>Female</v>
          </cell>
          <cell r="K396" t="str">
            <v>0750 850 0060</v>
          </cell>
          <cell r="L396" t="str">
            <v>0750 450 4496</v>
          </cell>
          <cell r="N396" t="str">
            <v>No</v>
          </cell>
          <cell r="O396" t="str">
            <v>No</v>
          </cell>
          <cell r="P396" t="str">
            <v>Local</v>
          </cell>
          <cell r="Q396" t="str">
            <v>First Year</v>
          </cell>
          <cell r="R396" t="str">
            <v>Regular</v>
          </cell>
          <cell r="T396" t="str">
            <v>Pending</v>
          </cell>
          <cell r="V396" t="str">
            <v>Spring</v>
          </cell>
          <cell r="W396" t="str">
            <v>2016</v>
          </cell>
          <cell r="Z396" t="str">
            <v>High School</v>
          </cell>
          <cell r="AA396">
            <v>2015</v>
          </cell>
          <cell r="AE396" t="str">
            <v>Vazheen</v>
          </cell>
          <cell r="AF396" t="str">
            <v>Zakho</v>
          </cell>
          <cell r="AK396">
            <v>64.76400000000001</v>
          </cell>
          <cell r="AL396">
            <v>0.86</v>
          </cell>
          <cell r="AM396">
            <v>65.624000000000009</v>
          </cell>
        </row>
        <row r="397">
          <cell r="D397" t="str">
            <v>A21600202</v>
          </cell>
          <cell r="E397" t="str">
            <v>Razvan</v>
          </cell>
          <cell r="F397" t="str">
            <v>Ibrahim</v>
          </cell>
          <cell r="G397" t="str">
            <v>Rasheed</v>
          </cell>
          <cell r="H397" t="str">
            <v>Male</v>
          </cell>
          <cell r="I397">
            <v>1987</v>
          </cell>
          <cell r="K397" t="str">
            <v>0750 480 0148</v>
          </cell>
          <cell r="L397" t="str">
            <v>0750 446 1489</v>
          </cell>
          <cell r="N397" t="str">
            <v>No</v>
          </cell>
          <cell r="O397" t="str">
            <v>No</v>
          </cell>
          <cell r="P397" t="str">
            <v>Local</v>
          </cell>
          <cell r="Q397" t="str">
            <v>First Year</v>
          </cell>
          <cell r="R397" t="str">
            <v>Martyr's Aid</v>
          </cell>
          <cell r="T397" t="str">
            <v>Pending</v>
          </cell>
          <cell r="U397" t="str">
            <v>Withdraw</v>
          </cell>
          <cell r="V397" t="str">
            <v>Spring</v>
          </cell>
          <cell r="W397" t="str">
            <v>2016</v>
          </cell>
          <cell r="Z397" t="str">
            <v>High School</v>
          </cell>
          <cell r="AA397">
            <v>2009</v>
          </cell>
          <cell r="AE397" t="str">
            <v>Dastor</v>
          </cell>
          <cell r="AF397" t="str">
            <v>Duhok</v>
          </cell>
          <cell r="AG397" t="str">
            <v>Qasara</v>
          </cell>
          <cell r="AH397">
            <v>56.8</v>
          </cell>
          <cell r="AK397">
            <v>56.8</v>
          </cell>
          <cell r="AM397">
            <v>56.8</v>
          </cell>
          <cell r="BB397">
            <v>1</v>
          </cell>
        </row>
        <row r="398">
          <cell r="D398" t="str">
            <v>A21600203</v>
          </cell>
          <cell r="E398" t="str">
            <v>Ayas</v>
          </cell>
          <cell r="F398" t="str">
            <v>Yousif</v>
          </cell>
          <cell r="G398" t="str">
            <v>Fattah</v>
          </cell>
          <cell r="H398" t="str">
            <v>Male</v>
          </cell>
          <cell r="I398">
            <v>1987</v>
          </cell>
          <cell r="J398" t="str">
            <v>Kurdish</v>
          </cell>
          <cell r="K398" t="str">
            <v>0750 498 7105</v>
          </cell>
          <cell r="L398" t="str">
            <v>0770 052 0704</v>
          </cell>
          <cell r="N398" t="str">
            <v>No</v>
          </cell>
          <cell r="O398" t="str">
            <v>No</v>
          </cell>
          <cell r="P398" t="str">
            <v>Local</v>
          </cell>
          <cell r="Q398" t="str">
            <v>First Year</v>
          </cell>
          <cell r="R398" t="str">
            <v>Martyr's Aid</v>
          </cell>
          <cell r="T398" t="str">
            <v>Accepted</v>
          </cell>
          <cell r="U398">
            <v>0</v>
          </cell>
          <cell r="V398" t="str">
            <v>Spring</v>
          </cell>
          <cell r="W398" t="str">
            <v>2016</v>
          </cell>
          <cell r="Z398" t="str">
            <v>High School</v>
          </cell>
          <cell r="AA398">
            <v>2007</v>
          </cell>
          <cell r="AB398">
            <v>1</v>
          </cell>
          <cell r="AC398">
            <v>1</v>
          </cell>
          <cell r="AD398" t="str">
            <v>Arts</v>
          </cell>
          <cell r="AE398" t="str">
            <v>Chamanke</v>
          </cell>
          <cell r="AF398" t="str">
            <v>Duhok</v>
          </cell>
          <cell r="AG398" t="str">
            <v>Chamanke</v>
          </cell>
          <cell r="AH398">
            <v>60</v>
          </cell>
          <cell r="AK398">
            <v>60</v>
          </cell>
          <cell r="AM398">
            <v>60</v>
          </cell>
          <cell r="AP398">
            <v>1</v>
          </cell>
          <cell r="BG398">
            <v>1</v>
          </cell>
        </row>
        <row r="399">
          <cell r="D399" t="str">
            <v>A21600204</v>
          </cell>
          <cell r="E399" t="str">
            <v>Mohammed</v>
          </cell>
          <cell r="F399" t="str">
            <v>Mosa</v>
          </cell>
          <cell r="G399" t="str">
            <v>Haji</v>
          </cell>
          <cell r="H399" t="str">
            <v>Male</v>
          </cell>
          <cell r="I399">
            <v>1991</v>
          </cell>
          <cell r="K399" t="str">
            <v>0750 457 8998</v>
          </cell>
          <cell r="L399" t="str">
            <v>0750 450 2919</v>
          </cell>
          <cell r="N399" t="str">
            <v>No</v>
          </cell>
          <cell r="O399" t="str">
            <v>No</v>
          </cell>
          <cell r="P399" t="str">
            <v>Local</v>
          </cell>
          <cell r="Q399" t="str">
            <v>First Year</v>
          </cell>
          <cell r="R399" t="str">
            <v>Regular</v>
          </cell>
          <cell r="T399" t="str">
            <v>Accepted</v>
          </cell>
          <cell r="U399">
            <v>0</v>
          </cell>
          <cell r="V399" t="str">
            <v>Spring</v>
          </cell>
          <cell r="W399" t="str">
            <v>2016</v>
          </cell>
          <cell r="Z399" t="str">
            <v>High School</v>
          </cell>
          <cell r="AA399">
            <v>2015</v>
          </cell>
          <cell r="AE399" t="str">
            <v>Dastor</v>
          </cell>
          <cell r="AF399" t="str">
            <v>Duhok</v>
          </cell>
          <cell r="AG399" t="str">
            <v>Hay Al-Shorta</v>
          </cell>
          <cell r="AH399">
            <v>60</v>
          </cell>
          <cell r="AK399">
            <v>60</v>
          </cell>
          <cell r="AL399">
            <v>1.71</v>
          </cell>
          <cell r="AM399">
            <v>61.71</v>
          </cell>
          <cell r="AP399">
            <v>2</v>
          </cell>
          <cell r="BG399">
            <v>1</v>
          </cell>
        </row>
        <row r="400">
          <cell r="D400" t="str">
            <v>A21600205</v>
          </cell>
          <cell r="E400" t="str">
            <v>Rezan</v>
          </cell>
          <cell r="F400" t="str">
            <v>Naif</v>
          </cell>
          <cell r="G400" t="str">
            <v>Mousa</v>
          </cell>
          <cell r="H400" t="str">
            <v>Male</v>
          </cell>
          <cell r="I400">
            <v>1987</v>
          </cell>
          <cell r="K400" t="str">
            <v>0750 483 5363</v>
          </cell>
          <cell r="L400" t="str">
            <v>0750 459 8509</v>
          </cell>
          <cell r="N400" t="str">
            <v>No</v>
          </cell>
          <cell r="O400" t="str">
            <v>No</v>
          </cell>
          <cell r="P400" t="str">
            <v>Local</v>
          </cell>
          <cell r="Q400" t="str">
            <v>First Year</v>
          </cell>
          <cell r="R400" t="str">
            <v>Martyr's Aid</v>
          </cell>
          <cell r="T400" t="str">
            <v>Accepted</v>
          </cell>
          <cell r="U400">
            <v>0</v>
          </cell>
          <cell r="V400" t="str">
            <v>Spring</v>
          </cell>
          <cell r="W400" t="str">
            <v>2016</v>
          </cell>
          <cell r="Z400" t="str">
            <v>High School</v>
          </cell>
          <cell r="AA400">
            <v>2013</v>
          </cell>
          <cell r="AE400" t="str">
            <v>Zakho</v>
          </cell>
          <cell r="AF400" t="str">
            <v>Zakho</v>
          </cell>
          <cell r="AG400" t="str">
            <v>Kawe</v>
          </cell>
          <cell r="AH400">
            <v>67.5</v>
          </cell>
          <cell r="AK400">
            <v>67.5</v>
          </cell>
          <cell r="AM400">
            <v>67.5</v>
          </cell>
          <cell r="AP400">
            <v>1</v>
          </cell>
          <cell r="BJ400">
            <v>1</v>
          </cell>
        </row>
        <row r="401">
          <cell r="D401" t="str">
            <v>A21600206</v>
          </cell>
          <cell r="E401" t="str">
            <v>Dunya</v>
          </cell>
          <cell r="F401" t="str">
            <v>Ayad</v>
          </cell>
          <cell r="G401" t="str">
            <v>Hasan</v>
          </cell>
          <cell r="H401" t="str">
            <v>Female</v>
          </cell>
          <cell r="I401">
            <v>1995</v>
          </cell>
          <cell r="K401" t="str">
            <v>0750 499 4555</v>
          </cell>
          <cell r="L401" t="str">
            <v>0750 849 9177</v>
          </cell>
          <cell r="N401" t="str">
            <v>No</v>
          </cell>
          <cell r="O401" t="str">
            <v>No</v>
          </cell>
          <cell r="P401" t="str">
            <v>Local</v>
          </cell>
          <cell r="Q401" t="str">
            <v>First Year</v>
          </cell>
          <cell r="R401" t="str">
            <v>Regular</v>
          </cell>
          <cell r="T401" t="str">
            <v>Accepted</v>
          </cell>
          <cell r="U401" t="str">
            <v>Withdraw</v>
          </cell>
          <cell r="V401" t="str">
            <v>Spring</v>
          </cell>
          <cell r="W401" t="str">
            <v>2016</v>
          </cell>
          <cell r="Z401" t="str">
            <v>High School</v>
          </cell>
          <cell r="AA401">
            <v>2015</v>
          </cell>
          <cell r="AE401" t="str">
            <v>Awaz</v>
          </cell>
          <cell r="AF401" t="str">
            <v>Duhok</v>
          </cell>
          <cell r="AG401" t="str">
            <v>Hay Al-Askari</v>
          </cell>
          <cell r="AH401">
            <v>64.28</v>
          </cell>
          <cell r="AK401">
            <v>64.28</v>
          </cell>
          <cell r="AL401">
            <v>1.71</v>
          </cell>
          <cell r="AM401">
            <v>65.989999999999995</v>
          </cell>
          <cell r="AQ401">
            <v>1</v>
          </cell>
        </row>
        <row r="402">
          <cell r="D402" t="str">
            <v>A21600207</v>
          </cell>
          <cell r="E402" t="str">
            <v>Saadi</v>
          </cell>
          <cell r="F402" t="str">
            <v>Ramadhna</v>
          </cell>
          <cell r="G402" t="str">
            <v>Salman</v>
          </cell>
          <cell r="H402" t="str">
            <v>Male</v>
          </cell>
          <cell r="I402">
            <v>1996</v>
          </cell>
          <cell r="K402" t="str">
            <v>0750 737 0204</v>
          </cell>
          <cell r="N402" t="str">
            <v>No</v>
          </cell>
          <cell r="O402" t="str">
            <v>No</v>
          </cell>
          <cell r="P402" t="str">
            <v>Local</v>
          </cell>
          <cell r="Q402" t="str">
            <v>First Year</v>
          </cell>
          <cell r="R402" t="str">
            <v>Regular</v>
          </cell>
          <cell r="T402" t="str">
            <v>Accepted</v>
          </cell>
          <cell r="U402" t="str">
            <v>Withdraw</v>
          </cell>
          <cell r="V402" t="str">
            <v>Spring</v>
          </cell>
          <cell r="W402" t="str">
            <v>2016</v>
          </cell>
          <cell r="Z402" t="str">
            <v>High School</v>
          </cell>
          <cell r="AF402" t="str">
            <v>Duhok</v>
          </cell>
          <cell r="AK402">
            <v>0</v>
          </cell>
          <cell r="AM402">
            <v>0</v>
          </cell>
          <cell r="AP402">
            <v>1</v>
          </cell>
          <cell r="AQ402">
            <v>1</v>
          </cell>
        </row>
        <row r="403">
          <cell r="D403" t="str">
            <v>A21600208</v>
          </cell>
          <cell r="E403" t="str">
            <v>Israa</v>
          </cell>
          <cell r="F403" t="str">
            <v>Dlofan</v>
          </cell>
          <cell r="G403" t="str">
            <v>Obaidellah</v>
          </cell>
          <cell r="H403" t="str">
            <v>Female</v>
          </cell>
          <cell r="I403">
            <v>1997</v>
          </cell>
          <cell r="J403" t="str">
            <v>Kurdish</v>
          </cell>
          <cell r="K403" t="str">
            <v>0750 397 3534</v>
          </cell>
          <cell r="L403" t="str">
            <v>0750 450 7069</v>
          </cell>
          <cell r="N403" t="str">
            <v>No</v>
          </cell>
          <cell r="O403" t="str">
            <v>No</v>
          </cell>
          <cell r="P403" t="str">
            <v>Local</v>
          </cell>
          <cell r="Q403" t="str">
            <v>First Year</v>
          </cell>
          <cell r="R403" t="str">
            <v>Regular</v>
          </cell>
          <cell r="T403" t="str">
            <v>Accepted</v>
          </cell>
          <cell r="U403">
            <v>0</v>
          </cell>
          <cell r="V403" t="str">
            <v>Spring</v>
          </cell>
          <cell r="W403" t="str">
            <v>2016</v>
          </cell>
          <cell r="Z403" t="str">
            <v>High School</v>
          </cell>
          <cell r="AA403">
            <v>2015</v>
          </cell>
          <cell r="AB403">
            <v>1</v>
          </cell>
          <cell r="AC403">
            <v>2</v>
          </cell>
          <cell r="AD403" t="str">
            <v>Science</v>
          </cell>
          <cell r="AE403" t="str">
            <v>Duhok</v>
          </cell>
          <cell r="AF403" t="str">
            <v>Duhok</v>
          </cell>
          <cell r="AG403" t="str">
            <v>Grebase</v>
          </cell>
          <cell r="AH403">
            <v>61</v>
          </cell>
          <cell r="AK403">
            <v>61</v>
          </cell>
          <cell r="AL403">
            <v>1</v>
          </cell>
          <cell r="AM403">
            <v>62</v>
          </cell>
          <cell r="AP403">
            <v>2</v>
          </cell>
          <cell r="AW403">
            <v>1</v>
          </cell>
        </row>
        <row r="404">
          <cell r="D404" t="str">
            <v>A21600209</v>
          </cell>
          <cell r="E404" t="str">
            <v>Hawar</v>
          </cell>
          <cell r="F404" t="str">
            <v>Safare</v>
          </cell>
          <cell r="G404" t="str">
            <v>Mohammed</v>
          </cell>
          <cell r="H404" t="str">
            <v>Male</v>
          </cell>
          <cell r="I404">
            <v>1987</v>
          </cell>
          <cell r="J404" t="str">
            <v>Kurdish</v>
          </cell>
          <cell r="K404" t="str">
            <v>0750 406 2088</v>
          </cell>
          <cell r="L404" t="str">
            <v>0750 740 1720</v>
          </cell>
          <cell r="N404" t="str">
            <v>Yes</v>
          </cell>
          <cell r="O404" t="str">
            <v>No</v>
          </cell>
          <cell r="P404" t="str">
            <v>Local</v>
          </cell>
          <cell r="Q404" t="str">
            <v>First Year</v>
          </cell>
          <cell r="R404" t="str">
            <v>Martyr's Aid</v>
          </cell>
          <cell r="T404" t="str">
            <v>Accepted</v>
          </cell>
          <cell r="U404">
            <v>0</v>
          </cell>
          <cell r="V404" t="str">
            <v>Spring</v>
          </cell>
          <cell r="W404" t="str">
            <v>2016</v>
          </cell>
          <cell r="Z404" t="str">
            <v>High School</v>
          </cell>
          <cell r="AA404">
            <v>2008</v>
          </cell>
          <cell r="AB404">
            <v>1</v>
          </cell>
          <cell r="AC404">
            <v>2</v>
          </cell>
          <cell r="AD404" t="str">
            <v>Arts</v>
          </cell>
          <cell r="AE404" t="str">
            <v>Duhok</v>
          </cell>
          <cell r="AF404" t="str">
            <v>Duhok</v>
          </cell>
          <cell r="AG404" t="str">
            <v>Hay Al-Askari</v>
          </cell>
          <cell r="AH404">
            <v>59</v>
          </cell>
          <cell r="AK404">
            <v>59</v>
          </cell>
          <cell r="AM404">
            <v>59</v>
          </cell>
          <cell r="AP404">
            <v>1</v>
          </cell>
          <cell r="BG404">
            <v>1</v>
          </cell>
        </row>
        <row r="405">
          <cell r="D405" t="str">
            <v>A21600210</v>
          </cell>
          <cell r="E405" t="str">
            <v>Nazdar</v>
          </cell>
          <cell r="F405" t="str">
            <v>Ramadhan</v>
          </cell>
          <cell r="G405" t="str">
            <v>Ali</v>
          </cell>
          <cell r="H405" t="str">
            <v>Female</v>
          </cell>
          <cell r="I405">
            <v>1992</v>
          </cell>
          <cell r="K405" t="str">
            <v>0750 418 9927</v>
          </cell>
          <cell r="L405" t="str">
            <v>0750 414 5554</v>
          </cell>
          <cell r="N405" t="str">
            <v>No</v>
          </cell>
          <cell r="O405" t="str">
            <v>No</v>
          </cell>
          <cell r="P405" t="str">
            <v>Local</v>
          </cell>
          <cell r="Q405" t="str">
            <v>First Year</v>
          </cell>
          <cell r="R405" t="str">
            <v>Regular</v>
          </cell>
          <cell r="T405" t="str">
            <v>Accepted</v>
          </cell>
          <cell r="U405" t="str">
            <v>Withdraw</v>
          </cell>
          <cell r="V405" t="str">
            <v>Spring</v>
          </cell>
          <cell r="W405" t="str">
            <v>2016</v>
          </cell>
          <cell r="Z405" t="str">
            <v>High School</v>
          </cell>
          <cell r="AA405">
            <v>2015</v>
          </cell>
          <cell r="AE405" t="str">
            <v>Tava</v>
          </cell>
          <cell r="AF405" t="str">
            <v>Duhok</v>
          </cell>
          <cell r="AG405" t="str">
            <v>K.R.O</v>
          </cell>
          <cell r="AH405">
            <v>62</v>
          </cell>
          <cell r="AK405">
            <v>62</v>
          </cell>
          <cell r="AM405">
            <v>62</v>
          </cell>
          <cell r="BG405">
            <v>1</v>
          </cell>
        </row>
        <row r="406">
          <cell r="D406" t="str">
            <v>A21600211</v>
          </cell>
          <cell r="E406" t="str">
            <v>Hella</v>
          </cell>
          <cell r="F406" t="str">
            <v>Diyar</v>
          </cell>
          <cell r="G406" t="str">
            <v>Ababakr</v>
          </cell>
          <cell r="H406" t="str">
            <v>Female</v>
          </cell>
          <cell r="K406" t="str">
            <v>0750 755 2444</v>
          </cell>
          <cell r="L406" t="str">
            <v>0750 445 5864</v>
          </cell>
          <cell r="N406" t="str">
            <v>Yes</v>
          </cell>
          <cell r="O406" t="str">
            <v>No</v>
          </cell>
          <cell r="P406" t="str">
            <v>Local</v>
          </cell>
          <cell r="Q406" t="str">
            <v>First Year</v>
          </cell>
          <cell r="R406" t="str">
            <v>Regular</v>
          </cell>
          <cell r="T406" t="str">
            <v>Accepted</v>
          </cell>
          <cell r="U406" t="str">
            <v>Withdraw</v>
          </cell>
          <cell r="V406" t="str">
            <v>Spring</v>
          </cell>
          <cell r="W406" t="str">
            <v>2016</v>
          </cell>
          <cell r="Z406" t="str">
            <v>High School</v>
          </cell>
          <cell r="AA406">
            <v>2015</v>
          </cell>
          <cell r="AE406" t="str">
            <v>Safin</v>
          </cell>
          <cell r="AF406" t="str">
            <v>Duhok</v>
          </cell>
          <cell r="AG406" t="str">
            <v>K.R.O</v>
          </cell>
          <cell r="AK406">
            <v>0</v>
          </cell>
          <cell r="AM406">
            <v>0</v>
          </cell>
        </row>
        <row r="407">
          <cell r="D407" t="str">
            <v>A21600212</v>
          </cell>
          <cell r="E407" t="str">
            <v>Nizar</v>
          </cell>
          <cell r="F407" t="str">
            <v>MohammedSalih</v>
          </cell>
          <cell r="G407" t="str">
            <v>Yousif</v>
          </cell>
          <cell r="H407" t="str">
            <v>Male</v>
          </cell>
          <cell r="I407">
            <v>1988</v>
          </cell>
          <cell r="J407" t="str">
            <v>Kurdish</v>
          </cell>
          <cell r="K407" t="str">
            <v>0750 467 4101</v>
          </cell>
          <cell r="N407" t="str">
            <v>No</v>
          </cell>
          <cell r="O407" t="str">
            <v>No</v>
          </cell>
          <cell r="P407" t="str">
            <v>Local</v>
          </cell>
          <cell r="Q407" t="str">
            <v>First Year</v>
          </cell>
          <cell r="R407" t="str">
            <v>Martyr's Aid</v>
          </cell>
          <cell r="T407" t="str">
            <v>Accepted</v>
          </cell>
          <cell r="U407">
            <v>0</v>
          </cell>
          <cell r="V407" t="str">
            <v>Spring</v>
          </cell>
          <cell r="W407" t="str">
            <v>2016</v>
          </cell>
          <cell r="Z407" t="str">
            <v>High School</v>
          </cell>
          <cell r="AA407">
            <v>2011</v>
          </cell>
          <cell r="AB407">
            <v>2</v>
          </cell>
          <cell r="AC407">
            <v>2</v>
          </cell>
          <cell r="AD407" t="str">
            <v>Arts</v>
          </cell>
          <cell r="AE407" t="str">
            <v>Kawa</v>
          </cell>
          <cell r="AF407" t="str">
            <v>Duhok</v>
          </cell>
          <cell r="AG407" t="str">
            <v>K.R.O</v>
          </cell>
          <cell r="AH407">
            <v>58</v>
          </cell>
          <cell r="AK407">
            <v>58</v>
          </cell>
          <cell r="AM407">
            <v>58</v>
          </cell>
          <cell r="AP407">
            <v>1</v>
          </cell>
          <cell r="BG407">
            <v>1</v>
          </cell>
        </row>
        <row r="408">
          <cell r="D408" t="str">
            <v>A21600213</v>
          </cell>
          <cell r="E408" t="str">
            <v>Khabat</v>
          </cell>
          <cell r="F408" t="str">
            <v>Kurdi</v>
          </cell>
          <cell r="G408" t="str">
            <v>Hameed</v>
          </cell>
          <cell r="H408" t="str">
            <v>Male</v>
          </cell>
          <cell r="I408">
            <v>1992</v>
          </cell>
          <cell r="J408" t="str">
            <v>Kurdish</v>
          </cell>
          <cell r="K408" t="str">
            <v>0750 450 7682</v>
          </cell>
          <cell r="N408" t="str">
            <v>No</v>
          </cell>
          <cell r="O408" t="str">
            <v>No</v>
          </cell>
          <cell r="P408" t="str">
            <v>Local</v>
          </cell>
          <cell r="Q408" t="str">
            <v>First Year</v>
          </cell>
          <cell r="R408" t="str">
            <v>Regular</v>
          </cell>
          <cell r="T408" t="str">
            <v>Accepted</v>
          </cell>
          <cell r="U408">
            <v>0</v>
          </cell>
          <cell r="V408" t="str">
            <v>Spring</v>
          </cell>
          <cell r="W408" t="str">
            <v>2016</v>
          </cell>
          <cell r="Z408" t="str">
            <v>High School</v>
          </cell>
          <cell r="AA408">
            <v>2014</v>
          </cell>
          <cell r="AB408">
            <v>1</v>
          </cell>
          <cell r="AC408">
            <v>2</v>
          </cell>
          <cell r="AD408" t="str">
            <v>Arts</v>
          </cell>
          <cell r="AE408" t="str">
            <v>Chiya</v>
          </cell>
          <cell r="AF408" t="str">
            <v>Duhok</v>
          </cell>
          <cell r="AH408">
            <v>56.7</v>
          </cell>
          <cell r="AK408">
            <v>56.7</v>
          </cell>
          <cell r="AM408">
            <v>56.7</v>
          </cell>
          <cell r="AP408">
            <v>1</v>
          </cell>
          <cell r="BG408">
            <v>1</v>
          </cell>
        </row>
        <row r="409">
          <cell r="D409" t="str">
            <v>A21600214</v>
          </cell>
          <cell r="E409" t="str">
            <v>Omar</v>
          </cell>
          <cell r="F409" t="str">
            <v>Ahmad</v>
          </cell>
          <cell r="G409" t="str">
            <v>Khaled</v>
          </cell>
          <cell r="H409" t="str">
            <v>Male</v>
          </cell>
          <cell r="I409">
            <v>1996</v>
          </cell>
          <cell r="K409" t="str">
            <v>0751 044 2412</v>
          </cell>
          <cell r="N409" t="str">
            <v>Yes</v>
          </cell>
          <cell r="O409" t="str">
            <v>No</v>
          </cell>
          <cell r="P409" t="str">
            <v>Local</v>
          </cell>
          <cell r="Q409" t="str">
            <v>First Year</v>
          </cell>
          <cell r="R409" t="str">
            <v>Regular</v>
          </cell>
          <cell r="T409" t="str">
            <v>Accepted</v>
          </cell>
          <cell r="U409">
            <v>0</v>
          </cell>
          <cell r="V409" t="str">
            <v>Spring</v>
          </cell>
          <cell r="W409" t="str">
            <v>2016</v>
          </cell>
          <cell r="Z409" t="str">
            <v>High School</v>
          </cell>
          <cell r="AA409">
            <v>2013</v>
          </cell>
          <cell r="AE409" t="str">
            <v>Syria</v>
          </cell>
          <cell r="AF409" t="str">
            <v>Duhok</v>
          </cell>
          <cell r="AG409" t="str">
            <v>Domiz</v>
          </cell>
          <cell r="AH409">
            <v>88</v>
          </cell>
          <cell r="AK409">
            <v>88</v>
          </cell>
          <cell r="AM409">
            <v>88</v>
          </cell>
          <cell r="AS409">
            <v>1</v>
          </cell>
        </row>
        <row r="410">
          <cell r="D410" t="str">
            <v>A21600215</v>
          </cell>
          <cell r="E410" t="str">
            <v>Mivan</v>
          </cell>
          <cell r="F410" t="str">
            <v>Taher</v>
          </cell>
          <cell r="G410" t="str">
            <v>Haji</v>
          </cell>
          <cell r="H410" t="str">
            <v>Male</v>
          </cell>
          <cell r="I410">
            <v>1991</v>
          </cell>
          <cell r="K410" t="str">
            <v>0750 487 2999</v>
          </cell>
          <cell r="L410" t="str">
            <v>0750 450 9079</v>
          </cell>
          <cell r="N410" t="str">
            <v>No</v>
          </cell>
          <cell r="O410" t="str">
            <v>No</v>
          </cell>
          <cell r="P410" t="str">
            <v>Local</v>
          </cell>
          <cell r="Q410" t="str">
            <v>First Year</v>
          </cell>
          <cell r="R410" t="str">
            <v>Regular</v>
          </cell>
          <cell r="T410" t="str">
            <v>Accepted</v>
          </cell>
          <cell r="U410">
            <v>0</v>
          </cell>
          <cell r="V410" t="str">
            <v>Spring</v>
          </cell>
          <cell r="W410" t="str">
            <v>2016</v>
          </cell>
          <cell r="Z410" t="str">
            <v>High School</v>
          </cell>
          <cell r="AA410">
            <v>2015</v>
          </cell>
          <cell r="AE410" t="str">
            <v>Home School</v>
          </cell>
          <cell r="AF410" t="str">
            <v>Duhok</v>
          </cell>
          <cell r="AH410">
            <v>55</v>
          </cell>
          <cell r="AK410">
            <v>55</v>
          </cell>
          <cell r="AM410">
            <v>55</v>
          </cell>
          <cell r="AP410">
            <v>1</v>
          </cell>
          <cell r="BG410">
            <v>1</v>
          </cell>
        </row>
        <row r="411">
          <cell r="D411" t="str">
            <v>A21600216</v>
          </cell>
          <cell r="E411" t="str">
            <v>Salih</v>
          </cell>
          <cell r="F411" t="str">
            <v>Mohammed</v>
          </cell>
          <cell r="G411" t="str">
            <v>Mrza</v>
          </cell>
          <cell r="H411" t="str">
            <v>Male</v>
          </cell>
          <cell r="I411">
            <v>1983</v>
          </cell>
          <cell r="J411" t="str">
            <v>Kurdish</v>
          </cell>
          <cell r="K411" t="str">
            <v>0750 454 4725</v>
          </cell>
          <cell r="L411" t="str">
            <v>0770 500 0500</v>
          </cell>
          <cell r="N411" t="str">
            <v>No</v>
          </cell>
          <cell r="O411" t="str">
            <v>No</v>
          </cell>
          <cell r="P411" t="str">
            <v>Local</v>
          </cell>
          <cell r="Q411" t="str">
            <v>First Year</v>
          </cell>
          <cell r="R411" t="str">
            <v>Regular</v>
          </cell>
          <cell r="T411" t="str">
            <v>Accepted</v>
          </cell>
          <cell r="U411" t="str">
            <v>Withdraw</v>
          </cell>
          <cell r="V411" t="str">
            <v>Spring</v>
          </cell>
          <cell r="W411" t="str">
            <v>2016</v>
          </cell>
          <cell r="Z411" t="str">
            <v>High School</v>
          </cell>
          <cell r="AA411">
            <v>2010</v>
          </cell>
          <cell r="AE411" t="str">
            <v>Amad</v>
          </cell>
          <cell r="AF411" t="str">
            <v>Duhok</v>
          </cell>
          <cell r="AG411" t="str">
            <v>Grebase</v>
          </cell>
          <cell r="AH411">
            <v>74.7</v>
          </cell>
          <cell r="AK411">
            <v>74.7</v>
          </cell>
          <cell r="AM411">
            <v>74.7</v>
          </cell>
          <cell r="AP411">
            <v>2</v>
          </cell>
          <cell r="AS411">
            <v>1</v>
          </cell>
          <cell r="BG411">
            <v>3</v>
          </cell>
          <cell r="BJ411">
            <v>2</v>
          </cell>
        </row>
        <row r="412">
          <cell r="D412" t="str">
            <v>A21700217</v>
          </cell>
          <cell r="E412" t="str">
            <v>Harith</v>
          </cell>
          <cell r="F412" t="str">
            <v>Sameer</v>
          </cell>
          <cell r="G412" t="str">
            <v>Hussein</v>
          </cell>
          <cell r="H412" t="str">
            <v>Male</v>
          </cell>
          <cell r="I412">
            <v>1994</v>
          </cell>
          <cell r="J412" t="str">
            <v>Kurdish</v>
          </cell>
          <cell r="K412" t="str">
            <v>0750 889 5588</v>
          </cell>
          <cell r="L412" t="str">
            <v>0750 440 8102</v>
          </cell>
          <cell r="N412" t="str">
            <v>No</v>
          </cell>
          <cell r="O412" t="str">
            <v>No</v>
          </cell>
          <cell r="P412" t="str">
            <v>Local</v>
          </cell>
          <cell r="Q412" t="str">
            <v>First Year</v>
          </cell>
          <cell r="R412" t="str">
            <v>Regular</v>
          </cell>
          <cell r="T412" t="str">
            <v>Conditional</v>
          </cell>
          <cell r="U412">
            <v>0</v>
          </cell>
          <cell r="V412" t="str">
            <v>Spring</v>
          </cell>
          <cell r="W412" t="str">
            <v>2017</v>
          </cell>
          <cell r="Z412" t="str">
            <v>High School</v>
          </cell>
          <cell r="AD412" t="str">
            <v>Science</v>
          </cell>
          <cell r="AE412" t="str">
            <v>Taakhi</v>
          </cell>
          <cell r="AF412" t="str">
            <v>Duhok</v>
          </cell>
          <cell r="AG412" t="str">
            <v>K.R.O</v>
          </cell>
          <cell r="AK412">
            <v>0</v>
          </cell>
          <cell r="AM412">
            <v>0</v>
          </cell>
          <cell r="AP412">
            <v>1</v>
          </cell>
        </row>
        <row r="413">
          <cell r="D413" t="str">
            <v>A21700218</v>
          </cell>
          <cell r="E413" t="str">
            <v>Ahmed</v>
          </cell>
          <cell r="F413" t="str">
            <v>Ramadhan</v>
          </cell>
          <cell r="G413" t="str">
            <v>Salman</v>
          </cell>
          <cell r="H413" t="str">
            <v>Male</v>
          </cell>
          <cell r="K413" t="str">
            <v>0750 499 8891</v>
          </cell>
          <cell r="L413" t="str">
            <v>0750 815 8989</v>
          </cell>
          <cell r="N413" t="str">
            <v>No</v>
          </cell>
          <cell r="O413" t="str">
            <v>No</v>
          </cell>
          <cell r="P413" t="str">
            <v>Local</v>
          </cell>
          <cell r="Q413" t="str">
            <v>First Year</v>
          </cell>
          <cell r="R413" t="str">
            <v>Regular</v>
          </cell>
          <cell r="T413" t="str">
            <v>Conditional</v>
          </cell>
          <cell r="U413">
            <v>0</v>
          </cell>
          <cell r="V413" t="str">
            <v>Spring</v>
          </cell>
          <cell r="W413" t="str">
            <v>2017</v>
          </cell>
          <cell r="Z413" t="str">
            <v>High School</v>
          </cell>
          <cell r="AK413">
            <v>0</v>
          </cell>
          <cell r="AM413">
            <v>0</v>
          </cell>
          <cell r="AP413">
            <v>1</v>
          </cell>
        </row>
        <row r="414">
          <cell r="D414" t="str">
            <v>A21700219</v>
          </cell>
          <cell r="E414" t="str">
            <v>Zagros</v>
          </cell>
          <cell r="F414" t="str">
            <v>Fahmi</v>
          </cell>
          <cell r="G414" t="str">
            <v>Salman</v>
          </cell>
          <cell r="H414" t="str">
            <v>Male</v>
          </cell>
          <cell r="I414">
            <v>1994</v>
          </cell>
          <cell r="J414" t="str">
            <v>Kurdish</v>
          </cell>
          <cell r="K414" t="str">
            <v>0750 194 7444</v>
          </cell>
          <cell r="L414" t="str">
            <v>0750 440 8102</v>
          </cell>
          <cell r="N414" t="str">
            <v>No</v>
          </cell>
          <cell r="O414" t="str">
            <v>No</v>
          </cell>
          <cell r="P414" t="str">
            <v>Local</v>
          </cell>
          <cell r="Q414" t="str">
            <v>First Year</v>
          </cell>
          <cell r="R414" t="str">
            <v>Regular</v>
          </cell>
          <cell r="T414" t="str">
            <v>Conditional</v>
          </cell>
          <cell r="U414">
            <v>0</v>
          </cell>
          <cell r="V414" t="str">
            <v>Spring</v>
          </cell>
          <cell r="W414" t="str">
            <v>2017</v>
          </cell>
          <cell r="Z414" t="str">
            <v>High School</v>
          </cell>
          <cell r="AD414" t="str">
            <v>Arts</v>
          </cell>
          <cell r="AE414" t="str">
            <v>Yarmand</v>
          </cell>
          <cell r="AF414" t="str">
            <v>Duhok</v>
          </cell>
          <cell r="AG414" t="str">
            <v>Shaida</v>
          </cell>
          <cell r="AK414">
            <v>0</v>
          </cell>
          <cell r="AM414">
            <v>0</v>
          </cell>
          <cell r="AP414">
            <v>1</v>
          </cell>
        </row>
        <row r="415">
          <cell r="D415" t="str">
            <v>A21700220</v>
          </cell>
          <cell r="E415" t="str">
            <v>Sherwan</v>
          </cell>
          <cell r="F415" t="str">
            <v>Adil</v>
          </cell>
          <cell r="G415" t="str">
            <v>Yousif</v>
          </cell>
          <cell r="H415" t="str">
            <v>Male</v>
          </cell>
          <cell r="I415">
            <v>1994</v>
          </cell>
          <cell r="J415" t="str">
            <v>Kurdish</v>
          </cell>
          <cell r="K415" t="str">
            <v>0750 465 5893</v>
          </cell>
          <cell r="L415" t="str">
            <v>0750 445 0813</v>
          </cell>
          <cell r="N415" t="str">
            <v>No</v>
          </cell>
          <cell r="O415" t="str">
            <v>No</v>
          </cell>
          <cell r="P415" t="str">
            <v>Local</v>
          </cell>
          <cell r="Q415" t="str">
            <v>First Year</v>
          </cell>
          <cell r="R415" t="str">
            <v>Regular</v>
          </cell>
          <cell r="T415" t="str">
            <v>Conditional</v>
          </cell>
          <cell r="U415">
            <v>0</v>
          </cell>
          <cell r="V415" t="str">
            <v>Spring</v>
          </cell>
          <cell r="W415" t="str">
            <v>2017</v>
          </cell>
          <cell r="Z415" t="str">
            <v>High School</v>
          </cell>
          <cell r="AD415" t="str">
            <v>Arts</v>
          </cell>
          <cell r="AE415" t="str">
            <v>Waar</v>
          </cell>
          <cell r="AF415" t="str">
            <v>Duhok</v>
          </cell>
          <cell r="AG415" t="str">
            <v>Safin Quarter</v>
          </cell>
          <cell r="AK415">
            <v>0</v>
          </cell>
          <cell r="AM415">
            <v>0</v>
          </cell>
          <cell r="AP415">
            <v>1</v>
          </cell>
        </row>
        <row r="416">
          <cell r="D416" t="str">
            <v>A21700221</v>
          </cell>
          <cell r="E416" t="str">
            <v>Mohammed</v>
          </cell>
          <cell r="F416" t="str">
            <v>Amin</v>
          </cell>
          <cell r="G416" t="str">
            <v>Darbas</v>
          </cell>
          <cell r="H416" t="str">
            <v>Male</v>
          </cell>
          <cell r="I416">
            <v>1997</v>
          </cell>
          <cell r="J416" t="str">
            <v>Kurdish</v>
          </cell>
          <cell r="K416" t="str">
            <v>0750 459 2807</v>
          </cell>
          <cell r="N416" t="str">
            <v>No</v>
          </cell>
          <cell r="O416" t="str">
            <v>No</v>
          </cell>
          <cell r="P416" t="str">
            <v>Local</v>
          </cell>
          <cell r="Q416" t="str">
            <v>First Year</v>
          </cell>
          <cell r="R416" t="str">
            <v>Regular</v>
          </cell>
          <cell r="T416" t="str">
            <v>Conditional</v>
          </cell>
          <cell r="U416">
            <v>0</v>
          </cell>
          <cell r="V416" t="str">
            <v>Spring</v>
          </cell>
          <cell r="W416" t="str">
            <v>2017</v>
          </cell>
          <cell r="Z416" t="str">
            <v>High School</v>
          </cell>
          <cell r="AF416" t="str">
            <v>Duhok</v>
          </cell>
          <cell r="AK416">
            <v>0</v>
          </cell>
          <cell r="AM416">
            <v>0</v>
          </cell>
          <cell r="AP416">
            <v>2</v>
          </cell>
        </row>
        <row r="417">
          <cell r="D417" t="str">
            <v>A21700222</v>
          </cell>
          <cell r="E417" t="str">
            <v>Simyar</v>
          </cell>
          <cell r="F417" t="str">
            <v>Tamer</v>
          </cell>
          <cell r="G417" t="str">
            <v>Ramadhan</v>
          </cell>
          <cell r="H417" t="str">
            <v>Male</v>
          </cell>
          <cell r="I417">
            <v>1992</v>
          </cell>
          <cell r="J417" t="str">
            <v>Kurdish</v>
          </cell>
          <cell r="K417" t="str">
            <v>0750 888 1828</v>
          </cell>
          <cell r="L417" t="str">
            <v>0750 600 1100</v>
          </cell>
          <cell r="N417" t="str">
            <v>No</v>
          </cell>
          <cell r="O417" t="str">
            <v>No</v>
          </cell>
          <cell r="P417" t="str">
            <v>Local</v>
          </cell>
          <cell r="Q417" t="str">
            <v>First Year</v>
          </cell>
          <cell r="R417" t="str">
            <v>Regular</v>
          </cell>
          <cell r="T417" t="str">
            <v>Conditional</v>
          </cell>
          <cell r="U417">
            <v>0</v>
          </cell>
          <cell r="V417" t="str">
            <v>Spring</v>
          </cell>
          <cell r="W417" t="str">
            <v>2017</v>
          </cell>
          <cell r="Z417" t="str">
            <v>High School</v>
          </cell>
          <cell r="AD417" t="str">
            <v>Arts</v>
          </cell>
          <cell r="AE417" t="str">
            <v>Yarmand</v>
          </cell>
          <cell r="AF417" t="str">
            <v>Duhok</v>
          </cell>
          <cell r="AG417" t="str">
            <v>Reza</v>
          </cell>
          <cell r="AK417">
            <v>0</v>
          </cell>
          <cell r="AM417">
            <v>0</v>
          </cell>
          <cell r="AP417">
            <v>1</v>
          </cell>
        </row>
        <row r="418">
          <cell r="D418" t="str">
            <v>A21700223</v>
          </cell>
          <cell r="E418" t="str">
            <v>Ari</v>
          </cell>
          <cell r="F418" t="str">
            <v>Issa</v>
          </cell>
          <cell r="G418" t="str">
            <v>Qasim</v>
          </cell>
          <cell r="H418" t="str">
            <v>Male</v>
          </cell>
          <cell r="I418">
            <v>1994</v>
          </cell>
          <cell r="J418" t="str">
            <v>Kurdish</v>
          </cell>
          <cell r="K418" t="str">
            <v>0750 426 4585</v>
          </cell>
          <cell r="N418" t="str">
            <v>No</v>
          </cell>
          <cell r="O418" t="str">
            <v>No</v>
          </cell>
          <cell r="P418" t="str">
            <v>Local</v>
          </cell>
          <cell r="Q418" t="str">
            <v>First Year</v>
          </cell>
          <cell r="R418" t="str">
            <v>Regular</v>
          </cell>
          <cell r="T418" t="str">
            <v>Conditional</v>
          </cell>
          <cell r="U418">
            <v>0</v>
          </cell>
          <cell r="V418" t="str">
            <v>Spring</v>
          </cell>
          <cell r="W418" t="str">
            <v>2017</v>
          </cell>
          <cell r="Z418" t="str">
            <v>High School</v>
          </cell>
          <cell r="AD418" t="str">
            <v>Science</v>
          </cell>
          <cell r="AE418" t="str">
            <v>Sadiq Bahaadeen</v>
          </cell>
          <cell r="AF418" t="str">
            <v>Duhok</v>
          </cell>
          <cell r="AG418" t="str">
            <v>Grebase</v>
          </cell>
          <cell r="AK418">
            <v>0</v>
          </cell>
          <cell r="AM418">
            <v>0</v>
          </cell>
          <cell r="AP418">
            <v>1</v>
          </cell>
        </row>
        <row r="419">
          <cell r="D419" t="str">
            <v>A21700224</v>
          </cell>
          <cell r="E419" t="str">
            <v>Suad</v>
          </cell>
          <cell r="F419" t="str">
            <v>Haider</v>
          </cell>
          <cell r="G419" t="str">
            <v>SalahAldin</v>
          </cell>
          <cell r="H419" t="str">
            <v>Male</v>
          </cell>
          <cell r="I419">
            <v>1997</v>
          </cell>
          <cell r="J419" t="str">
            <v>Kurdish</v>
          </cell>
          <cell r="K419" t="str">
            <v>0750 547 6861</v>
          </cell>
          <cell r="N419" t="str">
            <v>No</v>
          </cell>
          <cell r="O419" t="str">
            <v>No</v>
          </cell>
          <cell r="P419" t="str">
            <v>Local</v>
          </cell>
          <cell r="Q419" t="str">
            <v>First Year</v>
          </cell>
          <cell r="R419" t="str">
            <v>Regular</v>
          </cell>
          <cell r="T419" t="str">
            <v>Conditional</v>
          </cell>
          <cell r="U419">
            <v>0</v>
          </cell>
          <cell r="V419" t="str">
            <v>Spring</v>
          </cell>
          <cell r="W419" t="str">
            <v>2017</v>
          </cell>
          <cell r="Z419" t="str">
            <v>High School</v>
          </cell>
          <cell r="AA419">
            <v>2015</v>
          </cell>
          <cell r="AB419">
            <v>1</v>
          </cell>
          <cell r="AC419">
            <v>1</v>
          </cell>
          <cell r="AD419" t="str">
            <v>Science</v>
          </cell>
          <cell r="AE419" t="str">
            <v>Awaz</v>
          </cell>
          <cell r="AF419" t="str">
            <v>Duhok</v>
          </cell>
          <cell r="AG419" t="str">
            <v>Avro City</v>
          </cell>
          <cell r="AK419">
            <v>0</v>
          </cell>
          <cell r="AM419">
            <v>0</v>
          </cell>
          <cell r="AP419">
            <v>4</v>
          </cell>
        </row>
        <row r="420">
          <cell r="D420" t="str">
            <v>A21600225</v>
          </cell>
          <cell r="E420" t="str">
            <v>Abdulsalam</v>
          </cell>
          <cell r="F420" t="str">
            <v>Khaleel</v>
          </cell>
          <cell r="G420" t="str">
            <v>Habib</v>
          </cell>
          <cell r="H420" t="str">
            <v>Male</v>
          </cell>
          <cell r="I420">
            <v>1997</v>
          </cell>
          <cell r="J420" t="str">
            <v>Kurdish</v>
          </cell>
          <cell r="K420" t="str">
            <v>0750 373 9632</v>
          </cell>
          <cell r="L420" t="str">
            <v>0750 438 4743</v>
          </cell>
          <cell r="N420" t="str">
            <v>No</v>
          </cell>
          <cell r="O420" t="str">
            <v>No</v>
          </cell>
          <cell r="P420" t="str">
            <v>Local</v>
          </cell>
          <cell r="Q420" t="str">
            <v>First Year</v>
          </cell>
          <cell r="R420" t="str">
            <v>Martyr's Aid</v>
          </cell>
          <cell r="T420" t="str">
            <v>Accepted</v>
          </cell>
          <cell r="U420" t="str">
            <v>Withdraw</v>
          </cell>
          <cell r="V420" t="str">
            <v>Spring</v>
          </cell>
          <cell r="W420" t="str">
            <v>2016</v>
          </cell>
          <cell r="Z420" t="str">
            <v>High School</v>
          </cell>
          <cell r="AA420">
            <v>2015</v>
          </cell>
          <cell r="AB420">
            <v>1</v>
          </cell>
          <cell r="AC420">
            <v>1</v>
          </cell>
          <cell r="AD420" t="str">
            <v>Science</v>
          </cell>
          <cell r="AE420" t="str">
            <v>Bakhtiyari</v>
          </cell>
          <cell r="AF420" t="str">
            <v>Akre</v>
          </cell>
          <cell r="AH420">
            <v>55.7</v>
          </cell>
          <cell r="AI420">
            <v>63.4</v>
          </cell>
          <cell r="AJ420">
            <v>74.3</v>
          </cell>
          <cell r="AK420">
            <v>58.33</v>
          </cell>
          <cell r="AL420">
            <v>3</v>
          </cell>
          <cell r="AM420">
            <v>61.33</v>
          </cell>
          <cell r="AP420">
            <v>1</v>
          </cell>
          <cell r="BJ420">
            <v>1</v>
          </cell>
        </row>
        <row r="421">
          <cell r="D421" t="str">
            <v>A21600226</v>
          </cell>
          <cell r="E421" t="str">
            <v>Mohammed</v>
          </cell>
          <cell r="F421" t="str">
            <v>Hameed</v>
          </cell>
          <cell r="G421" t="str">
            <v>Majeed</v>
          </cell>
          <cell r="H421" t="str">
            <v>Male</v>
          </cell>
          <cell r="I421">
            <v>1996</v>
          </cell>
          <cell r="J421" t="str">
            <v>Kurdish</v>
          </cell>
          <cell r="K421" t="str">
            <v>0750 783 2427</v>
          </cell>
          <cell r="N421" t="str">
            <v>No</v>
          </cell>
          <cell r="O421" t="str">
            <v>No</v>
          </cell>
          <cell r="P421" t="str">
            <v>Local</v>
          </cell>
          <cell r="Q421" t="str">
            <v>First Year</v>
          </cell>
          <cell r="R421" t="str">
            <v>Regular</v>
          </cell>
          <cell r="T421" t="str">
            <v>Accepted</v>
          </cell>
          <cell r="U421">
            <v>0</v>
          </cell>
          <cell r="V421" t="str">
            <v>Spring</v>
          </cell>
          <cell r="W421" t="str">
            <v>2016</v>
          </cell>
          <cell r="Z421" t="str">
            <v>High School</v>
          </cell>
          <cell r="AA421">
            <v>2015</v>
          </cell>
          <cell r="AB421">
            <v>1</v>
          </cell>
          <cell r="AC421">
            <v>2</v>
          </cell>
          <cell r="AD421" t="str">
            <v>Science</v>
          </cell>
          <cell r="AE421" t="str">
            <v>Ishik</v>
          </cell>
          <cell r="AF421" t="str">
            <v>Duhok</v>
          </cell>
          <cell r="AG421" t="str">
            <v>Grebase</v>
          </cell>
          <cell r="AH421">
            <v>68.2</v>
          </cell>
          <cell r="AI421">
            <v>85.6</v>
          </cell>
          <cell r="AJ421">
            <v>86.6</v>
          </cell>
          <cell r="AK421">
            <v>71.78</v>
          </cell>
          <cell r="AL421">
            <v>1</v>
          </cell>
          <cell r="AM421">
            <v>72.78</v>
          </cell>
          <cell r="AP421">
            <v>3</v>
          </cell>
          <cell r="BG421">
            <v>1</v>
          </cell>
        </row>
        <row r="422">
          <cell r="D422" t="str">
            <v>A21600227</v>
          </cell>
          <cell r="E422" t="str">
            <v>Wafaa</v>
          </cell>
          <cell r="F422" t="str">
            <v>Ahmed</v>
          </cell>
          <cell r="G422" t="str">
            <v>Hassan</v>
          </cell>
          <cell r="H422" t="str">
            <v>Female</v>
          </cell>
          <cell r="I422">
            <v>1995</v>
          </cell>
          <cell r="J422" t="str">
            <v>Kurdish</v>
          </cell>
          <cell r="K422" t="str">
            <v>0750 050 7757</v>
          </cell>
          <cell r="L422" t="str">
            <v>0750 490 5865</v>
          </cell>
          <cell r="N422" t="str">
            <v>No</v>
          </cell>
          <cell r="O422" t="str">
            <v>No</v>
          </cell>
          <cell r="P422" t="str">
            <v>Local</v>
          </cell>
          <cell r="Q422" t="str">
            <v>First Year</v>
          </cell>
          <cell r="R422" t="str">
            <v>Regular</v>
          </cell>
          <cell r="T422" t="str">
            <v>Accepted</v>
          </cell>
          <cell r="U422">
            <v>0</v>
          </cell>
          <cell r="V422" t="str">
            <v>Spring</v>
          </cell>
          <cell r="W422" t="str">
            <v>2016</v>
          </cell>
          <cell r="Z422" t="str">
            <v>High School</v>
          </cell>
          <cell r="AA422">
            <v>2015</v>
          </cell>
          <cell r="AB422">
            <v>2</v>
          </cell>
          <cell r="AC422">
            <v>2</v>
          </cell>
          <cell r="AD422" t="str">
            <v>Science</v>
          </cell>
          <cell r="AE422" t="str">
            <v>Awaz</v>
          </cell>
          <cell r="AF422" t="str">
            <v>Duhok</v>
          </cell>
          <cell r="AG422" t="str">
            <v>K.R.O</v>
          </cell>
          <cell r="AH422">
            <v>61</v>
          </cell>
          <cell r="AI422">
            <v>61.25</v>
          </cell>
          <cell r="AJ422">
            <v>69.8</v>
          </cell>
          <cell r="AK422">
            <v>61.905000000000001</v>
          </cell>
          <cell r="AM422">
            <v>61.905000000000001</v>
          </cell>
          <cell r="AP422">
            <v>1</v>
          </cell>
          <cell r="AZ422">
            <v>3</v>
          </cell>
          <cell r="BB422">
            <v>1</v>
          </cell>
          <cell r="BF422">
            <v>2</v>
          </cell>
        </row>
        <row r="423">
          <cell r="D423" t="str">
            <v>A21600228</v>
          </cell>
          <cell r="E423" t="str">
            <v>Issa</v>
          </cell>
          <cell r="F423" t="str">
            <v>Hussein</v>
          </cell>
          <cell r="G423" t="str">
            <v>Saleem</v>
          </cell>
          <cell r="H423" t="str">
            <v>Male</v>
          </cell>
          <cell r="I423">
            <v>1992</v>
          </cell>
          <cell r="K423" t="str">
            <v>0750 433 4474</v>
          </cell>
          <cell r="L423" t="str">
            <v>0750 789 5004</v>
          </cell>
          <cell r="N423" t="str">
            <v>No</v>
          </cell>
          <cell r="O423" t="str">
            <v>No</v>
          </cell>
          <cell r="P423" t="str">
            <v>Local</v>
          </cell>
          <cell r="Q423" t="str">
            <v>First Year</v>
          </cell>
          <cell r="R423" t="str">
            <v>Regular</v>
          </cell>
          <cell r="T423" t="str">
            <v>Accepted</v>
          </cell>
          <cell r="U423">
            <v>0</v>
          </cell>
          <cell r="V423" t="str">
            <v>Spring</v>
          </cell>
          <cell r="W423" t="str">
            <v>2016</v>
          </cell>
          <cell r="Z423" t="str">
            <v>High School</v>
          </cell>
          <cell r="AA423">
            <v>2015</v>
          </cell>
          <cell r="AE423" t="str">
            <v>Barkhodan</v>
          </cell>
          <cell r="AF423" t="str">
            <v>Duhok</v>
          </cell>
          <cell r="AG423" t="str">
            <v>Nizarki</v>
          </cell>
          <cell r="AK423">
            <v>0</v>
          </cell>
          <cell r="AM423">
            <v>0</v>
          </cell>
          <cell r="BJ423">
            <v>1</v>
          </cell>
        </row>
        <row r="424">
          <cell r="D424" t="str">
            <v>A21600229</v>
          </cell>
          <cell r="E424" t="str">
            <v>Ronak</v>
          </cell>
          <cell r="F424" t="str">
            <v>Fawzi</v>
          </cell>
          <cell r="G424" t="str">
            <v>Mohammad Ali</v>
          </cell>
          <cell r="H424" t="str">
            <v>Female</v>
          </cell>
          <cell r="N424" t="str">
            <v>No</v>
          </cell>
          <cell r="O424" t="str">
            <v>No</v>
          </cell>
          <cell r="P424" t="str">
            <v>Local</v>
          </cell>
          <cell r="Q424" t="str">
            <v>First Year</v>
          </cell>
          <cell r="T424" t="str">
            <v>Accepted</v>
          </cell>
          <cell r="U424" t="str">
            <v>Withdraw</v>
          </cell>
          <cell r="V424" t="str">
            <v>Spring</v>
          </cell>
          <cell r="W424" t="str">
            <v>2016</v>
          </cell>
          <cell r="Z424" t="str">
            <v>High School</v>
          </cell>
          <cell r="AE424" t="str">
            <v>Hayv</v>
          </cell>
          <cell r="AF424" t="str">
            <v>Duhok</v>
          </cell>
          <cell r="AK424">
            <v>0</v>
          </cell>
          <cell r="AM424">
            <v>0</v>
          </cell>
          <cell r="AP424">
            <v>1</v>
          </cell>
          <cell r="AZ424">
            <v>1</v>
          </cell>
        </row>
        <row r="425">
          <cell r="D425" t="str">
            <v>A21600230</v>
          </cell>
          <cell r="E425" t="str">
            <v>Zana</v>
          </cell>
          <cell r="F425" t="str">
            <v>Salah</v>
          </cell>
          <cell r="G425" t="str">
            <v>Khaled</v>
          </cell>
          <cell r="H425" t="str">
            <v>Male</v>
          </cell>
          <cell r="I425">
            <v>1996</v>
          </cell>
          <cell r="J425" t="str">
            <v>Kurdish</v>
          </cell>
          <cell r="K425" t="str">
            <v>0750 849 2155</v>
          </cell>
          <cell r="L425" t="str">
            <v>0750 777 3602</v>
          </cell>
          <cell r="N425" t="str">
            <v>No</v>
          </cell>
          <cell r="O425" t="str">
            <v>No</v>
          </cell>
          <cell r="P425" t="str">
            <v>Local</v>
          </cell>
          <cell r="Q425" t="str">
            <v>First Year</v>
          </cell>
          <cell r="R425" t="str">
            <v>Regular</v>
          </cell>
          <cell r="T425" t="str">
            <v>Accepted</v>
          </cell>
          <cell r="U425">
            <v>0</v>
          </cell>
          <cell r="V425" t="str">
            <v>Spring</v>
          </cell>
          <cell r="W425" t="str">
            <v>2016</v>
          </cell>
          <cell r="Z425" t="str">
            <v>High School</v>
          </cell>
          <cell r="AA425">
            <v>2015</v>
          </cell>
          <cell r="AE425" t="str">
            <v>Kurd</v>
          </cell>
          <cell r="AF425" t="str">
            <v>Duhok</v>
          </cell>
          <cell r="AG425" t="str">
            <v>Sumel</v>
          </cell>
          <cell r="AH425">
            <v>72.8</v>
          </cell>
          <cell r="AK425">
            <v>72.8</v>
          </cell>
          <cell r="AL425">
            <v>3</v>
          </cell>
          <cell r="AM425">
            <v>75.8</v>
          </cell>
          <cell r="AP425">
            <v>7</v>
          </cell>
          <cell r="BG425">
            <v>1</v>
          </cell>
        </row>
        <row r="426">
          <cell r="D426" t="str">
            <v>A21600231</v>
          </cell>
          <cell r="E426" t="str">
            <v>Yasa</v>
          </cell>
          <cell r="F426" t="str">
            <v>Masood</v>
          </cell>
          <cell r="G426" t="str">
            <v>Saleem</v>
          </cell>
          <cell r="H426" t="str">
            <v>Male</v>
          </cell>
          <cell r="I426">
            <v>1996</v>
          </cell>
          <cell r="J426" t="str">
            <v>Kurdish</v>
          </cell>
          <cell r="K426" t="str">
            <v>0750 417 4388</v>
          </cell>
          <cell r="L426" t="str">
            <v>0750 753 7633</v>
          </cell>
          <cell r="N426" t="str">
            <v>No</v>
          </cell>
          <cell r="O426" t="str">
            <v>No</v>
          </cell>
          <cell r="P426" t="str">
            <v>Local</v>
          </cell>
          <cell r="Q426" t="str">
            <v>First Year</v>
          </cell>
          <cell r="R426" t="str">
            <v>Regular</v>
          </cell>
          <cell r="T426" t="str">
            <v>Accepted</v>
          </cell>
          <cell r="U426">
            <v>0</v>
          </cell>
          <cell r="V426" t="str">
            <v>Spring</v>
          </cell>
          <cell r="W426" t="str">
            <v>2016</v>
          </cell>
          <cell r="Z426" t="str">
            <v>High School</v>
          </cell>
          <cell r="AA426">
            <v>2015</v>
          </cell>
          <cell r="AB426">
            <v>1</v>
          </cell>
          <cell r="AC426">
            <v>2</v>
          </cell>
          <cell r="AD426" t="str">
            <v>Science</v>
          </cell>
          <cell r="AE426" t="str">
            <v>Bijare</v>
          </cell>
          <cell r="AF426" t="str">
            <v>Duhok</v>
          </cell>
          <cell r="AG426" t="str">
            <v>Shorash</v>
          </cell>
          <cell r="AH426">
            <v>75</v>
          </cell>
          <cell r="AK426">
            <v>75</v>
          </cell>
          <cell r="AM426">
            <v>75</v>
          </cell>
          <cell r="AP426">
            <v>5</v>
          </cell>
          <cell r="BJ426">
            <v>1</v>
          </cell>
        </row>
        <row r="427">
          <cell r="D427" t="str">
            <v>A21600232</v>
          </cell>
          <cell r="E427" t="str">
            <v>Paiyman</v>
          </cell>
          <cell r="F427" t="str">
            <v>Cherko</v>
          </cell>
          <cell r="G427" t="str">
            <v>Hashem</v>
          </cell>
          <cell r="H427" t="str">
            <v>Male</v>
          </cell>
          <cell r="I427">
            <v>1997</v>
          </cell>
          <cell r="J427" t="str">
            <v>Kurdish</v>
          </cell>
          <cell r="K427" t="str">
            <v>0750 850 0060</v>
          </cell>
          <cell r="L427" t="str">
            <v>0750 450 4496</v>
          </cell>
          <cell r="N427" t="str">
            <v>No</v>
          </cell>
          <cell r="O427" t="str">
            <v>No</v>
          </cell>
          <cell r="P427" t="str">
            <v>Local</v>
          </cell>
          <cell r="Q427" t="str">
            <v>First Year</v>
          </cell>
          <cell r="R427" t="str">
            <v>Regular</v>
          </cell>
          <cell r="T427" t="str">
            <v>Pending</v>
          </cell>
          <cell r="V427" t="str">
            <v>Spring</v>
          </cell>
          <cell r="W427" t="str">
            <v>2016</v>
          </cell>
          <cell r="Z427" t="str">
            <v>High School</v>
          </cell>
          <cell r="AA427">
            <v>2015</v>
          </cell>
          <cell r="AE427" t="str">
            <v>Vazheen</v>
          </cell>
          <cell r="AF427" t="str">
            <v>Duhok</v>
          </cell>
          <cell r="AH427">
            <v>60.2</v>
          </cell>
          <cell r="AK427">
            <v>60.2</v>
          </cell>
          <cell r="AM427">
            <v>60.2</v>
          </cell>
        </row>
        <row r="428">
          <cell r="D428" t="str">
            <v>A21600233</v>
          </cell>
          <cell r="E428" t="str">
            <v>Karwan</v>
          </cell>
          <cell r="F428" t="str">
            <v>Azeedin</v>
          </cell>
          <cell r="G428" t="str">
            <v>Taha</v>
          </cell>
          <cell r="H428" t="str">
            <v>Male</v>
          </cell>
          <cell r="I428">
            <v>1985</v>
          </cell>
          <cell r="J428" t="str">
            <v>Kurdish</v>
          </cell>
          <cell r="K428" t="str">
            <v>0750 488 7431</v>
          </cell>
          <cell r="L428" t="str">
            <v>0750 469 6623</v>
          </cell>
          <cell r="N428" t="str">
            <v>No</v>
          </cell>
          <cell r="O428" t="str">
            <v>No</v>
          </cell>
          <cell r="P428" t="str">
            <v>Local</v>
          </cell>
          <cell r="Q428" t="str">
            <v>First Year</v>
          </cell>
          <cell r="R428" t="str">
            <v>Political Prisoner</v>
          </cell>
          <cell r="T428" t="str">
            <v>Accepted</v>
          </cell>
          <cell r="U428">
            <v>0</v>
          </cell>
          <cell r="V428" t="str">
            <v>Spring</v>
          </cell>
          <cell r="W428" t="str">
            <v>2016</v>
          </cell>
          <cell r="Z428" t="str">
            <v>High School</v>
          </cell>
          <cell r="AA428">
            <v>2013</v>
          </cell>
          <cell r="AB428">
            <v>3</v>
          </cell>
          <cell r="AC428">
            <v>2</v>
          </cell>
          <cell r="AD428" t="str">
            <v>Arts</v>
          </cell>
          <cell r="AE428" t="str">
            <v>Batifa</v>
          </cell>
          <cell r="AF428" t="str">
            <v>Duhok</v>
          </cell>
          <cell r="AG428" t="str">
            <v>Zakho</v>
          </cell>
          <cell r="AH428">
            <v>55</v>
          </cell>
          <cell r="AK428">
            <v>55</v>
          </cell>
          <cell r="AM428">
            <v>55</v>
          </cell>
          <cell r="AP428">
            <v>1</v>
          </cell>
          <cell r="BG428">
            <v>1</v>
          </cell>
        </row>
        <row r="429">
          <cell r="D429" t="str">
            <v>A21600234</v>
          </cell>
          <cell r="E429" t="str">
            <v>Mohammed</v>
          </cell>
          <cell r="F429" t="str">
            <v>Ismat</v>
          </cell>
          <cell r="G429" t="str">
            <v>Dino</v>
          </cell>
          <cell r="H429" t="str">
            <v>Male</v>
          </cell>
          <cell r="I429">
            <v>1990</v>
          </cell>
          <cell r="J429" t="str">
            <v>Kurdish</v>
          </cell>
          <cell r="K429" t="str">
            <v>0750 464 3400</v>
          </cell>
          <cell r="L429" t="str">
            <v>0750 899 1880</v>
          </cell>
          <cell r="N429" t="str">
            <v>Yes</v>
          </cell>
          <cell r="O429" t="str">
            <v>No</v>
          </cell>
          <cell r="P429" t="str">
            <v>Local</v>
          </cell>
          <cell r="Q429" t="str">
            <v>First Year</v>
          </cell>
          <cell r="R429" t="str">
            <v>Political Prisoner</v>
          </cell>
          <cell r="T429" t="str">
            <v>Accepted</v>
          </cell>
          <cell r="U429">
            <v>0</v>
          </cell>
          <cell r="V429" t="str">
            <v>Spring</v>
          </cell>
          <cell r="W429" t="str">
            <v>2016</v>
          </cell>
          <cell r="Z429" t="str">
            <v>High School</v>
          </cell>
          <cell r="AA429">
            <v>2015</v>
          </cell>
          <cell r="AB429">
            <v>2</v>
          </cell>
          <cell r="AC429">
            <v>1</v>
          </cell>
          <cell r="AD429" t="str">
            <v>science</v>
          </cell>
          <cell r="AE429" t="str">
            <v>Waar</v>
          </cell>
          <cell r="AF429" t="str">
            <v>Zakho</v>
          </cell>
          <cell r="AH429">
            <v>55.5</v>
          </cell>
          <cell r="AK429">
            <v>55.5</v>
          </cell>
          <cell r="AM429">
            <v>55.5</v>
          </cell>
          <cell r="AP429">
            <v>1</v>
          </cell>
          <cell r="BG429">
            <v>1</v>
          </cell>
        </row>
        <row r="430">
          <cell r="D430" t="str">
            <v>A21600235</v>
          </cell>
          <cell r="E430" t="str">
            <v>Alnd</v>
          </cell>
          <cell r="F430" t="str">
            <v>Musa</v>
          </cell>
          <cell r="G430" t="str">
            <v>Morad</v>
          </cell>
          <cell r="H430" t="str">
            <v>Female</v>
          </cell>
          <cell r="I430">
            <v>1997</v>
          </cell>
          <cell r="J430" t="str">
            <v>Kurdish</v>
          </cell>
          <cell r="K430" t="str">
            <v>0750 513 1040</v>
          </cell>
          <cell r="L430" t="str">
            <v>0750 471 1738</v>
          </cell>
          <cell r="N430" t="str">
            <v>Yes</v>
          </cell>
          <cell r="O430" t="str">
            <v>Yes</v>
          </cell>
          <cell r="P430" t="str">
            <v>Local</v>
          </cell>
          <cell r="Q430" t="str">
            <v>First Year</v>
          </cell>
          <cell r="R430" t="str">
            <v>Martyr's Aid</v>
          </cell>
          <cell r="T430" t="str">
            <v>Accepted</v>
          </cell>
          <cell r="U430">
            <v>0</v>
          </cell>
          <cell r="V430" t="str">
            <v>Spring</v>
          </cell>
          <cell r="W430" t="str">
            <v>2016</v>
          </cell>
          <cell r="Z430" t="str">
            <v>High School</v>
          </cell>
          <cell r="AA430">
            <v>2015</v>
          </cell>
          <cell r="AC430">
            <v>1</v>
          </cell>
          <cell r="AD430" t="str">
            <v>Arts</v>
          </cell>
          <cell r="AE430" t="str">
            <v>Vin</v>
          </cell>
          <cell r="AF430" t="str">
            <v>Zakho</v>
          </cell>
          <cell r="AG430" t="str">
            <v>Abasik</v>
          </cell>
          <cell r="AH430">
            <v>56.8</v>
          </cell>
          <cell r="AK430">
            <v>56.8</v>
          </cell>
          <cell r="AM430">
            <v>56.8</v>
          </cell>
          <cell r="AP430">
            <v>1</v>
          </cell>
          <cell r="BG430">
            <v>1</v>
          </cell>
        </row>
        <row r="431">
          <cell r="D431" t="str">
            <v>A21700236</v>
          </cell>
          <cell r="E431" t="str">
            <v>Zhiyar</v>
          </cell>
          <cell r="F431" t="str">
            <v>Sanaan</v>
          </cell>
          <cell r="G431" t="str">
            <v>Abdulrahman</v>
          </cell>
          <cell r="H431" t="str">
            <v>Male</v>
          </cell>
          <cell r="N431" t="str">
            <v>No</v>
          </cell>
          <cell r="O431" t="str">
            <v>No</v>
          </cell>
          <cell r="P431" t="str">
            <v>Local</v>
          </cell>
          <cell r="Q431" t="str">
            <v>First Year</v>
          </cell>
          <cell r="R431" t="str">
            <v>Regular</v>
          </cell>
          <cell r="T431" t="str">
            <v>Conditional</v>
          </cell>
          <cell r="U431">
            <v>0</v>
          </cell>
          <cell r="V431" t="str">
            <v>Spring</v>
          </cell>
          <cell r="W431" t="str">
            <v>2017</v>
          </cell>
          <cell r="Z431" t="str">
            <v>High School</v>
          </cell>
          <cell r="AK431">
            <v>0</v>
          </cell>
          <cell r="AM431">
            <v>0</v>
          </cell>
        </row>
        <row r="432">
          <cell r="D432" t="str">
            <v>A21700237</v>
          </cell>
          <cell r="E432" t="str">
            <v>Barzan</v>
          </cell>
          <cell r="F432" t="str">
            <v>Abdulhadi</v>
          </cell>
          <cell r="G432" t="str">
            <v>Mustafa</v>
          </cell>
          <cell r="H432" t="str">
            <v>Male</v>
          </cell>
          <cell r="I432">
            <v>1995</v>
          </cell>
          <cell r="J432" t="str">
            <v>Kurdish</v>
          </cell>
          <cell r="K432" t="str">
            <v>0750 340 5708</v>
          </cell>
          <cell r="N432" t="str">
            <v>No</v>
          </cell>
          <cell r="O432" t="str">
            <v>No</v>
          </cell>
          <cell r="P432" t="str">
            <v>Local</v>
          </cell>
          <cell r="Q432" t="str">
            <v>First Year</v>
          </cell>
          <cell r="R432" t="str">
            <v>Regular</v>
          </cell>
          <cell r="T432" t="str">
            <v>Conditional</v>
          </cell>
          <cell r="U432">
            <v>0</v>
          </cell>
          <cell r="V432" t="str">
            <v>Spring</v>
          </cell>
          <cell r="W432" t="str">
            <v>2017</v>
          </cell>
          <cell r="Z432" t="str">
            <v>High School</v>
          </cell>
          <cell r="AE432" t="str">
            <v>Tiroj</v>
          </cell>
          <cell r="AK432">
            <v>0</v>
          </cell>
          <cell r="AM432">
            <v>0</v>
          </cell>
          <cell r="AP432">
            <v>1</v>
          </cell>
        </row>
        <row r="433">
          <cell r="D433" t="str">
            <v>A21700238</v>
          </cell>
          <cell r="E433" t="str">
            <v>Safwan</v>
          </cell>
          <cell r="F433" t="str">
            <v>Diwali</v>
          </cell>
          <cell r="G433" t="str">
            <v>Asem</v>
          </cell>
          <cell r="H433" t="str">
            <v>Male</v>
          </cell>
          <cell r="I433">
            <v>1987</v>
          </cell>
          <cell r="J433" t="str">
            <v>Kurdish</v>
          </cell>
          <cell r="K433" t="str">
            <v>0750 455 6965</v>
          </cell>
          <cell r="N433" t="str">
            <v>No</v>
          </cell>
          <cell r="O433" t="str">
            <v>No</v>
          </cell>
          <cell r="P433" t="str">
            <v>Local</v>
          </cell>
          <cell r="Q433" t="str">
            <v>First Year</v>
          </cell>
          <cell r="R433" t="str">
            <v>Regular</v>
          </cell>
          <cell r="T433" t="str">
            <v>Conditional</v>
          </cell>
          <cell r="U433">
            <v>0</v>
          </cell>
          <cell r="V433" t="str">
            <v>Spring</v>
          </cell>
          <cell r="W433" t="str">
            <v>2017</v>
          </cell>
          <cell r="Z433" t="str">
            <v>High School</v>
          </cell>
          <cell r="AE433" t="str">
            <v>Bakhtiyari</v>
          </cell>
          <cell r="AF433" t="str">
            <v>Duhok</v>
          </cell>
          <cell r="AG433" t="str">
            <v>Avro City</v>
          </cell>
          <cell r="AH433">
            <v>63</v>
          </cell>
          <cell r="AK433">
            <v>63</v>
          </cell>
          <cell r="AM433">
            <v>63</v>
          </cell>
          <cell r="BG433">
            <v>1</v>
          </cell>
        </row>
        <row r="434">
          <cell r="D434" t="str">
            <v>A21700239</v>
          </cell>
          <cell r="E434" t="str">
            <v>Reger</v>
          </cell>
          <cell r="F434" t="str">
            <v>Abdulmanaf</v>
          </cell>
          <cell r="G434" t="str">
            <v>Abdulsalam</v>
          </cell>
          <cell r="H434" t="str">
            <v>Male</v>
          </cell>
          <cell r="I434">
            <v>1992</v>
          </cell>
          <cell r="J434" t="str">
            <v>Kurdish</v>
          </cell>
          <cell r="K434" t="str">
            <v>0750 749 2902</v>
          </cell>
          <cell r="L434" t="str">
            <v>0750 229 6595</v>
          </cell>
          <cell r="N434" t="str">
            <v>No</v>
          </cell>
          <cell r="O434" t="str">
            <v>No</v>
          </cell>
          <cell r="P434" t="str">
            <v>Local</v>
          </cell>
          <cell r="Q434" t="str">
            <v>First Year</v>
          </cell>
          <cell r="R434" t="str">
            <v>Regular</v>
          </cell>
          <cell r="T434" t="str">
            <v>Conditional</v>
          </cell>
          <cell r="U434">
            <v>0</v>
          </cell>
          <cell r="V434" t="str">
            <v>Spring</v>
          </cell>
          <cell r="W434" t="str">
            <v>2017</v>
          </cell>
          <cell r="Z434" t="str">
            <v>High School</v>
          </cell>
          <cell r="AE434" t="str">
            <v>Yarmand</v>
          </cell>
          <cell r="AF434" t="str">
            <v>Duhok</v>
          </cell>
          <cell r="AG434" t="str">
            <v>Takhe Mediya</v>
          </cell>
          <cell r="AK434">
            <v>0</v>
          </cell>
          <cell r="AM434">
            <v>0</v>
          </cell>
        </row>
        <row r="435">
          <cell r="D435" t="str">
            <v>A11700240</v>
          </cell>
          <cell r="E435" t="str">
            <v>Adil</v>
          </cell>
          <cell r="F435" t="str">
            <v>Tato</v>
          </cell>
          <cell r="G435" t="str">
            <v>Gurmiz</v>
          </cell>
          <cell r="H435" t="str">
            <v>Male</v>
          </cell>
          <cell r="K435" t="str">
            <v>0750 776 9793</v>
          </cell>
          <cell r="L435" t="str">
            <v>0782 494 8166</v>
          </cell>
          <cell r="N435" t="str">
            <v>No</v>
          </cell>
          <cell r="O435" t="str">
            <v>No</v>
          </cell>
          <cell r="P435" t="str">
            <v>Local</v>
          </cell>
          <cell r="Q435" t="str">
            <v>First Year</v>
          </cell>
          <cell r="R435" t="str">
            <v>Regular</v>
          </cell>
          <cell r="T435" t="str">
            <v>Conditional</v>
          </cell>
          <cell r="U435" t="str">
            <v>Withdraw</v>
          </cell>
          <cell r="V435" t="str">
            <v>Fall</v>
          </cell>
          <cell r="W435" t="str">
            <v>2017</v>
          </cell>
          <cell r="Z435" t="str">
            <v>High School</v>
          </cell>
          <cell r="AF435" t="str">
            <v>Duhok</v>
          </cell>
          <cell r="AG435" t="str">
            <v>Khanke</v>
          </cell>
          <cell r="AH435">
            <v>80</v>
          </cell>
          <cell r="AK435">
            <v>80</v>
          </cell>
          <cell r="AM435">
            <v>80</v>
          </cell>
          <cell r="AP435">
            <v>2</v>
          </cell>
        </row>
        <row r="436">
          <cell r="D436" t="str">
            <v>A21700241</v>
          </cell>
          <cell r="E436" t="str">
            <v>Zaid</v>
          </cell>
          <cell r="F436" t="str">
            <v>Musheer</v>
          </cell>
          <cell r="G436" t="str">
            <v>Najman</v>
          </cell>
          <cell r="H436" t="str">
            <v>Male</v>
          </cell>
          <cell r="I436">
            <v>1992</v>
          </cell>
          <cell r="J436" t="str">
            <v>Kurdish</v>
          </cell>
          <cell r="K436" t="str">
            <v>0750 346 8656</v>
          </cell>
          <cell r="L436" t="str">
            <v>0750 402 8811</v>
          </cell>
          <cell r="N436" t="str">
            <v>No</v>
          </cell>
          <cell r="O436" t="str">
            <v>No</v>
          </cell>
          <cell r="P436" t="str">
            <v>Local</v>
          </cell>
          <cell r="Q436" t="str">
            <v>First Year</v>
          </cell>
          <cell r="R436" t="str">
            <v>Regular</v>
          </cell>
          <cell r="T436" t="str">
            <v>Conditional</v>
          </cell>
          <cell r="U436">
            <v>0</v>
          </cell>
          <cell r="V436" t="str">
            <v>Spring</v>
          </cell>
          <cell r="W436" t="str">
            <v>2017</v>
          </cell>
          <cell r="Z436" t="str">
            <v>High School</v>
          </cell>
          <cell r="AE436" t="str">
            <v>Home School</v>
          </cell>
          <cell r="AF436" t="str">
            <v>Duhok</v>
          </cell>
          <cell r="AG436" t="str">
            <v>Baroshke</v>
          </cell>
          <cell r="AK436">
            <v>0</v>
          </cell>
          <cell r="AM436">
            <v>0</v>
          </cell>
          <cell r="AP436">
            <v>1</v>
          </cell>
        </row>
        <row r="437">
          <cell r="D437" t="str">
            <v>A21700242</v>
          </cell>
          <cell r="E437" t="str">
            <v>Belind</v>
          </cell>
          <cell r="F437" t="str">
            <v>Sabah</v>
          </cell>
          <cell r="G437" t="str">
            <v>Mohammed</v>
          </cell>
          <cell r="H437" t="str">
            <v>Male</v>
          </cell>
          <cell r="I437">
            <v>1994</v>
          </cell>
          <cell r="J437" t="str">
            <v>Kurdish</v>
          </cell>
          <cell r="K437" t="str">
            <v>0750 771 1994</v>
          </cell>
          <cell r="N437" t="str">
            <v>No</v>
          </cell>
          <cell r="O437" t="str">
            <v>No</v>
          </cell>
          <cell r="P437" t="str">
            <v>Local</v>
          </cell>
          <cell r="Q437" t="str">
            <v>First Year</v>
          </cell>
          <cell r="R437" t="str">
            <v>Regular</v>
          </cell>
          <cell r="T437" t="str">
            <v>Conditional</v>
          </cell>
          <cell r="U437">
            <v>0</v>
          </cell>
          <cell r="V437" t="str">
            <v>Spring</v>
          </cell>
          <cell r="W437" t="str">
            <v>2017</v>
          </cell>
          <cell r="Z437" t="str">
            <v>High School</v>
          </cell>
          <cell r="AA437">
            <v>2015</v>
          </cell>
          <cell r="AE437" t="str">
            <v>Peshawa</v>
          </cell>
          <cell r="AF437" t="str">
            <v>Duhok</v>
          </cell>
          <cell r="AK437">
            <v>0</v>
          </cell>
          <cell r="AM437">
            <v>0</v>
          </cell>
        </row>
        <row r="438">
          <cell r="D438" t="str">
            <v>A21700243</v>
          </cell>
          <cell r="E438" t="str">
            <v>Aidin</v>
          </cell>
          <cell r="F438" t="str">
            <v>Haji</v>
          </cell>
          <cell r="G438" t="str">
            <v>Saleem</v>
          </cell>
          <cell r="H438" t="str">
            <v>Male</v>
          </cell>
          <cell r="I438">
            <v>1996</v>
          </cell>
          <cell r="J438" t="str">
            <v>Kurdish</v>
          </cell>
          <cell r="K438" t="str">
            <v>0750 4591122</v>
          </cell>
          <cell r="L438" t="str">
            <v>0750 445 9256</v>
          </cell>
          <cell r="N438" t="str">
            <v>No</v>
          </cell>
          <cell r="O438" t="str">
            <v>No</v>
          </cell>
          <cell r="P438" t="str">
            <v>Local</v>
          </cell>
          <cell r="Q438" t="str">
            <v>First Year</v>
          </cell>
          <cell r="R438" t="str">
            <v>Regular</v>
          </cell>
          <cell r="T438" t="str">
            <v>Conditional</v>
          </cell>
          <cell r="U438">
            <v>0</v>
          </cell>
          <cell r="V438" t="str">
            <v>Spring</v>
          </cell>
          <cell r="W438" t="str">
            <v>2017</v>
          </cell>
          <cell r="Z438" t="str">
            <v>High School</v>
          </cell>
          <cell r="AE438" t="str">
            <v>Kawa</v>
          </cell>
          <cell r="AF438" t="str">
            <v>Duhok</v>
          </cell>
          <cell r="AK438">
            <v>0</v>
          </cell>
          <cell r="AM438">
            <v>0</v>
          </cell>
          <cell r="AQ438">
            <v>1</v>
          </cell>
        </row>
        <row r="439">
          <cell r="D439" t="str">
            <v>A21700244</v>
          </cell>
          <cell r="E439" t="str">
            <v>Omran</v>
          </cell>
          <cell r="F439" t="str">
            <v>Luqman</v>
          </cell>
          <cell r="G439" t="str">
            <v>Sarhan</v>
          </cell>
          <cell r="H439" t="str">
            <v>Male</v>
          </cell>
          <cell r="I439">
            <v>1998</v>
          </cell>
          <cell r="J439" t="str">
            <v>Kurdish</v>
          </cell>
          <cell r="K439" t="str">
            <v>0750 3049309</v>
          </cell>
          <cell r="L439" t="str">
            <v>0750 419 8123</v>
          </cell>
          <cell r="N439" t="str">
            <v>No</v>
          </cell>
          <cell r="O439" t="str">
            <v>No</v>
          </cell>
          <cell r="P439" t="str">
            <v>Local</v>
          </cell>
          <cell r="Q439" t="str">
            <v>First Year</v>
          </cell>
          <cell r="R439" t="str">
            <v>Regular</v>
          </cell>
          <cell r="T439" t="str">
            <v>Conditional</v>
          </cell>
          <cell r="U439">
            <v>0</v>
          </cell>
          <cell r="V439" t="str">
            <v>Spring</v>
          </cell>
          <cell r="W439" t="str">
            <v>2017</v>
          </cell>
          <cell r="Z439" t="str">
            <v>High School</v>
          </cell>
          <cell r="AA439">
            <v>2015</v>
          </cell>
          <cell r="AB439">
            <v>1</v>
          </cell>
          <cell r="AC439">
            <v>2</v>
          </cell>
          <cell r="AD439" t="str">
            <v>Science</v>
          </cell>
          <cell r="AE439" t="str">
            <v>Zakho</v>
          </cell>
          <cell r="AF439" t="str">
            <v>Duhok</v>
          </cell>
          <cell r="AG439" t="str">
            <v>Shahida</v>
          </cell>
          <cell r="AH439">
            <v>60.2</v>
          </cell>
          <cell r="AK439">
            <v>60.2</v>
          </cell>
          <cell r="AL439">
            <v>1</v>
          </cell>
          <cell r="AM439">
            <v>61.2</v>
          </cell>
          <cell r="AP439">
            <v>1</v>
          </cell>
          <cell r="AW439">
            <v>1</v>
          </cell>
        </row>
        <row r="440">
          <cell r="D440" t="str">
            <v>A21700245</v>
          </cell>
          <cell r="E440" t="str">
            <v>Karam</v>
          </cell>
          <cell r="F440" t="str">
            <v>Fawzi</v>
          </cell>
          <cell r="G440" t="str">
            <v>Naef</v>
          </cell>
          <cell r="H440" t="str">
            <v>Male</v>
          </cell>
          <cell r="I440">
            <v>1994</v>
          </cell>
          <cell r="J440" t="str">
            <v>Kurdish</v>
          </cell>
          <cell r="K440" t="str">
            <v>0750 149 1383</v>
          </cell>
          <cell r="L440" t="str">
            <v>0750 685 0337</v>
          </cell>
          <cell r="N440" t="str">
            <v>No</v>
          </cell>
          <cell r="O440" t="str">
            <v>No</v>
          </cell>
          <cell r="P440" t="str">
            <v>Local</v>
          </cell>
          <cell r="Q440" t="str">
            <v>First Year</v>
          </cell>
          <cell r="R440" t="str">
            <v>Regular</v>
          </cell>
          <cell r="T440" t="str">
            <v>Conditional</v>
          </cell>
          <cell r="U440">
            <v>0</v>
          </cell>
          <cell r="V440" t="str">
            <v>Spring</v>
          </cell>
          <cell r="W440" t="str">
            <v>2017</v>
          </cell>
          <cell r="Z440" t="str">
            <v>High School</v>
          </cell>
          <cell r="AA440">
            <v>2012</v>
          </cell>
          <cell r="AB440">
            <v>1</v>
          </cell>
          <cell r="AC440">
            <v>1</v>
          </cell>
          <cell r="AD440" t="str">
            <v>Science</v>
          </cell>
          <cell r="AF440" t="str">
            <v>Duhok</v>
          </cell>
          <cell r="AG440" t="str">
            <v>Zari Land</v>
          </cell>
          <cell r="AK440">
            <v>0</v>
          </cell>
          <cell r="AM440">
            <v>0</v>
          </cell>
          <cell r="AP440">
            <v>1</v>
          </cell>
          <cell r="BB440">
            <v>1</v>
          </cell>
        </row>
        <row r="441">
          <cell r="D441" t="str">
            <v>A21700246</v>
          </cell>
          <cell r="E441" t="str">
            <v>Mohammed</v>
          </cell>
          <cell r="F441" t="str">
            <v>Anees</v>
          </cell>
          <cell r="G441" t="str">
            <v>Khalid</v>
          </cell>
          <cell r="H441" t="str">
            <v>Male</v>
          </cell>
          <cell r="I441">
            <v>1996</v>
          </cell>
          <cell r="J441" t="str">
            <v>Kurdish</v>
          </cell>
          <cell r="K441" t="str">
            <v>0750 722 6492</v>
          </cell>
          <cell r="L441" t="str">
            <v>0750 457 7945</v>
          </cell>
          <cell r="N441" t="str">
            <v>No</v>
          </cell>
          <cell r="O441" t="str">
            <v>No</v>
          </cell>
          <cell r="P441" t="str">
            <v>Local</v>
          </cell>
          <cell r="Q441" t="str">
            <v>First Year</v>
          </cell>
          <cell r="R441" t="str">
            <v>Regular</v>
          </cell>
          <cell r="T441" t="str">
            <v>Conditional</v>
          </cell>
          <cell r="U441">
            <v>0</v>
          </cell>
          <cell r="V441" t="str">
            <v>Spring</v>
          </cell>
          <cell r="W441" t="str">
            <v>2017</v>
          </cell>
          <cell r="Z441" t="str">
            <v>High School</v>
          </cell>
          <cell r="AA441">
            <v>2015</v>
          </cell>
          <cell r="AB441">
            <v>2</v>
          </cell>
          <cell r="AC441">
            <v>2</v>
          </cell>
          <cell r="AD441" t="str">
            <v>Science</v>
          </cell>
          <cell r="AE441" t="str">
            <v>Kawa</v>
          </cell>
          <cell r="AF441" t="str">
            <v>Duhok</v>
          </cell>
          <cell r="AG441" t="str">
            <v>Malta</v>
          </cell>
          <cell r="AH441">
            <v>58.5</v>
          </cell>
          <cell r="AK441">
            <v>58.5</v>
          </cell>
          <cell r="AM441">
            <v>58.5</v>
          </cell>
          <cell r="AP441">
            <v>1</v>
          </cell>
          <cell r="BG441">
            <v>1</v>
          </cell>
        </row>
        <row r="442">
          <cell r="D442" t="str">
            <v>A21700247</v>
          </cell>
          <cell r="E442" t="str">
            <v>Sawsan</v>
          </cell>
          <cell r="F442" t="str">
            <v>Hameed</v>
          </cell>
          <cell r="G442" t="str">
            <v>Muhammed</v>
          </cell>
          <cell r="H442" t="str">
            <v>Female</v>
          </cell>
          <cell r="I442">
            <v>1985</v>
          </cell>
          <cell r="J442" t="str">
            <v>Kurdish</v>
          </cell>
          <cell r="K442" t="str">
            <v>0750 440 9432</v>
          </cell>
          <cell r="L442" t="str">
            <v>0750 450 0171</v>
          </cell>
          <cell r="N442" t="str">
            <v>No</v>
          </cell>
          <cell r="O442" t="str">
            <v>No</v>
          </cell>
          <cell r="P442" t="str">
            <v>Local</v>
          </cell>
          <cell r="Q442" t="str">
            <v>First Year</v>
          </cell>
          <cell r="R442" t="str">
            <v>Martyr's Aid</v>
          </cell>
          <cell r="T442" t="str">
            <v>Conditional</v>
          </cell>
          <cell r="U442">
            <v>0</v>
          </cell>
          <cell r="V442" t="str">
            <v>Spring</v>
          </cell>
          <cell r="W442" t="str">
            <v>2017</v>
          </cell>
          <cell r="Z442" t="str">
            <v>High School</v>
          </cell>
          <cell r="AA442">
            <v>2006</v>
          </cell>
          <cell r="AB442">
            <v>2</v>
          </cell>
          <cell r="AC442">
            <v>2</v>
          </cell>
          <cell r="AD442" t="str">
            <v>Science</v>
          </cell>
          <cell r="AE442" t="str">
            <v>Duhok</v>
          </cell>
          <cell r="AF442" t="str">
            <v>Duhok</v>
          </cell>
          <cell r="AG442" t="str">
            <v>Zozan</v>
          </cell>
          <cell r="AH442">
            <v>65.8</v>
          </cell>
          <cell r="AK442">
            <v>65.8</v>
          </cell>
          <cell r="AM442">
            <v>65.8</v>
          </cell>
          <cell r="AW442">
            <v>1</v>
          </cell>
          <cell r="BB442">
            <v>1</v>
          </cell>
        </row>
        <row r="443">
          <cell r="D443" t="str">
            <v>A21700248</v>
          </cell>
          <cell r="E443" t="str">
            <v>Shileer</v>
          </cell>
          <cell r="F443" t="str">
            <v>Mohammed</v>
          </cell>
          <cell r="G443" t="str">
            <v>Hussein</v>
          </cell>
          <cell r="H443" t="str">
            <v>Female</v>
          </cell>
          <cell r="I443">
            <v>1995</v>
          </cell>
          <cell r="J443" t="str">
            <v>Kurdish</v>
          </cell>
          <cell r="K443" t="str">
            <v>0751 156 2021</v>
          </cell>
          <cell r="L443" t="str">
            <v>0750 429 0008</v>
          </cell>
          <cell r="N443" t="str">
            <v>No</v>
          </cell>
          <cell r="O443" t="str">
            <v>No</v>
          </cell>
          <cell r="P443" t="str">
            <v>Local</v>
          </cell>
          <cell r="Q443" t="str">
            <v>First Year</v>
          </cell>
          <cell r="R443" t="str">
            <v>Regular</v>
          </cell>
          <cell r="T443" t="str">
            <v>Conditional</v>
          </cell>
          <cell r="U443">
            <v>0</v>
          </cell>
          <cell r="V443" t="str">
            <v>Spring</v>
          </cell>
          <cell r="W443" t="str">
            <v>2017</v>
          </cell>
          <cell r="Z443" t="str">
            <v>High School</v>
          </cell>
          <cell r="AD443" t="str">
            <v>Science</v>
          </cell>
          <cell r="AE443" t="str">
            <v>Awaz</v>
          </cell>
          <cell r="AF443" t="str">
            <v>Duhok</v>
          </cell>
          <cell r="AG443" t="str">
            <v>K.R.O</v>
          </cell>
          <cell r="AK443">
            <v>0</v>
          </cell>
          <cell r="AM443">
            <v>0</v>
          </cell>
          <cell r="AP443">
            <v>2</v>
          </cell>
        </row>
        <row r="444">
          <cell r="D444" t="str">
            <v>A21700249</v>
          </cell>
          <cell r="E444" t="str">
            <v>Ranya</v>
          </cell>
          <cell r="F444" t="str">
            <v>Saadi</v>
          </cell>
          <cell r="G444" t="str">
            <v>Khudher</v>
          </cell>
          <cell r="H444" t="str">
            <v>Female</v>
          </cell>
          <cell r="I444">
            <v>1995</v>
          </cell>
          <cell r="J444" t="str">
            <v>Kurdish</v>
          </cell>
          <cell r="N444" t="str">
            <v>No</v>
          </cell>
          <cell r="O444" t="str">
            <v>No</v>
          </cell>
          <cell r="P444" t="str">
            <v>Local</v>
          </cell>
          <cell r="Q444" t="str">
            <v>First Year</v>
          </cell>
          <cell r="R444" t="str">
            <v>Regular</v>
          </cell>
          <cell r="T444" t="str">
            <v>Conditional</v>
          </cell>
          <cell r="U444">
            <v>0</v>
          </cell>
          <cell r="V444" t="str">
            <v>Spring</v>
          </cell>
          <cell r="W444" t="str">
            <v>2017</v>
          </cell>
          <cell r="Z444" t="str">
            <v>High School</v>
          </cell>
          <cell r="AD444" t="str">
            <v>Science</v>
          </cell>
          <cell r="AE444" t="str">
            <v>Awaz</v>
          </cell>
          <cell r="AF444" t="str">
            <v>Duhok</v>
          </cell>
          <cell r="AK444">
            <v>0</v>
          </cell>
          <cell r="AM444">
            <v>0</v>
          </cell>
          <cell r="AP444">
            <v>2</v>
          </cell>
        </row>
        <row r="445">
          <cell r="D445" t="str">
            <v>A21700250</v>
          </cell>
          <cell r="E445" t="str">
            <v>Barzan</v>
          </cell>
          <cell r="F445" t="str">
            <v>Hikmat</v>
          </cell>
          <cell r="G445" t="str">
            <v>Ramadhan</v>
          </cell>
          <cell r="H445" t="str">
            <v>Male</v>
          </cell>
          <cell r="J445" t="str">
            <v>Kurdish</v>
          </cell>
          <cell r="N445" t="str">
            <v>No</v>
          </cell>
          <cell r="O445" t="str">
            <v>No</v>
          </cell>
          <cell r="P445" t="str">
            <v>Local</v>
          </cell>
          <cell r="Q445" t="str">
            <v>First Year</v>
          </cell>
          <cell r="R445" t="str">
            <v>Regular</v>
          </cell>
          <cell r="T445" t="str">
            <v>Conditional</v>
          </cell>
          <cell r="U445">
            <v>0</v>
          </cell>
          <cell r="V445" t="str">
            <v>Spring</v>
          </cell>
          <cell r="W445" t="str">
            <v>2017</v>
          </cell>
          <cell r="Z445" t="str">
            <v>High School</v>
          </cell>
          <cell r="AD445" t="str">
            <v>Science</v>
          </cell>
          <cell r="AE445" t="str">
            <v>SadiqBahaadeen</v>
          </cell>
          <cell r="AF445" t="str">
            <v>Duhok</v>
          </cell>
          <cell r="AK445">
            <v>0</v>
          </cell>
          <cell r="AM445">
            <v>0</v>
          </cell>
          <cell r="AP445">
            <v>2</v>
          </cell>
        </row>
        <row r="446">
          <cell r="D446" t="str">
            <v>A21700251</v>
          </cell>
          <cell r="E446" t="str">
            <v>Fahed</v>
          </cell>
          <cell r="F446" t="str">
            <v>Amin</v>
          </cell>
          <cell r="G446" t="str">
            <v>Darbas</v>
          </cell>
          <cell r="H446" t="str">
            <v>Male</v>
          </cell>
          <cell r="J446" t="str">
            <v>Kurdish</v>
          </cell>
          <cell r="N446" t="str">
            <v>No</v>
          </cell>
          <cell r="O446" t="str">
            <v>No</v>
          </cell>
          <cell r="P446" t="str">
            <v>Local</v>
          </cell>
          <cell r="Q446" t="str">
            <v>First Year</v>
          </cell>
          <cell r="R446" t="str">
            <v>Regular</v>
          </cell>
          <cell r="T446" t="str">
            <v>Conditional</v>
          </cell>
          <cell r="U446">
            <v>0</v>
          </cell>
          <cell r="V446" t="str">
            <v>Spring</v>
          </cell>
          <cell r="W446" t="str">
            <v>2017</v>
          </cell>
          <cell r="Z446" t="str">
            <v>High School</v>
          </cell>
          <cell r="AD446" t="str">
            <v>Arts</v>
          </cell>
          <cell r="AE446" t="str">
            <v>Galy</v>
          </cell>
          <cell r="AF446" t="str">
            <v>Zakho</v>
          </cell>
          <cell r="AK446">
            <v>0</v>
          </cell>
          <cell r="AM446">
            <v>0</v>
          </cell>
          <cell r="AP446">
            <v>1</v>
          </cell>
        </row>
        <row r="447">
          <cell r="D447" t="str">
            <v>A21700252</v>
          </cell>
          <cell r="E447" t="str">
            <v>Darstan</v>
          </cell>
          <cell r="F447" t="str">
            <v>Mohammed</v>
          </cell>
          <cell r="G447" t="str">
            <v>Mahdi</v>
          </cell>
          <cell r="H447" t="str">
            <v>Female</v>
          </cell>
          <cell r="I447">
            <v>1997</v>
          </cell>
          <cell r="J447" t="str">
            <v>Kurdish</v>
          </cell>
          <cell r="K447" t="str">
            <v>0750 874 6121</v>
          </cell>
          <cell r="N447" t="str">
            <v>No</v>
          </cell>
          <cell r="O447" t="str">
            <v>No</v>
          </cell>
          <cell r="P447" t="str">
            <v>Local</v>
          </cell>
          <cell r="Q447" t="str">
            <v>First Year</v>
          </cell>
          <cell r="R447" t="str">
            <v>Regular</v>
          </cell>
          <cell r="T447" t="str">
            <v>Conditional</v>
          </cell>
          <cell r="U447">
            <v>0</v>
          </cell>
          <cell r="V447" t="str">
            <v>Spring</v>
          </cell>
          <cell r="W447" t="str">
            <v>2017</v>
          </cell>
          <cell r="Z447" t="str">
            <v>High School</v>
          </cell>
          <cell r="AA447">
            <v>2015</v>
          </cell>
          <cell r="AD447" t="str">
            <v>Science</v>
          </cell>
          <cell r="AE447" t="str">
            <v>International Duhok</v>
          </cell>
          <cell r="AF447" t="str">
            <v>Duhok</v>
          </cell>
          <cell r="AH447">
            <v>84.8</v>
          </cell>
          <cell r="AK447">
            <v>84.8</v>
          </cell>
          <cell r="AM447">
            <v>84.8</v>
          </cell>
          <cell r="AN447">
            <v>99</v>
          </cell>
          <cell r="AP447">
            <v>7</v>
          </cell>
        </row>
        <row r="448">
          <cell r="D448" t="str">
            <v>A21700253</v>
          </cell>
          <cell r="E448" t="str">
            <v>Imad</v>
          </cell>
          <cell r="F448" t="str">
            <v>Baderkhan</v>
          </cell>
          <cell r="G448" t="str">
            <v>YousIf</v>
          </cell>
          <cell r="H448" t="str">
            <v>Male</v>
          </cell>
          <cell r="I448">
            <v>1996</v>
          </cell>
          <cell r="J448" t="str">
            <v>Kurdish</v>
          </cell>
          <cell r="N448" t="str">
            <v>No</v>
          </cell>
          <cell r="O448" t="str">
            <v>No</v>
          </cell>
          <cell r="P448" t="str">
            <v>Local</v>
          </cell>
          <cell r="Q448" t="str">
            <v>First Year</v>
          </cell>
          <cell r="R448" t="str">
            <v>Regular</v>
          </cell>
          <cell r="T448" t="str">
            <v>Conditional</v>
          </cell>
          <cell r="U448">
            <v>0</v>
          </cell>
          <cell r="V448" t="str">
            <v>Spring</v>
          </cell>
          <cell r="W448" t="str">
            <v>2017</v>
          </cell>
          <cell r="Z448" t="str">
            <v>High School</v>
          </cell>
          <cell r="AD448" t="str">
            <v>Science</v>
          </cell>
          <cell r="AE448" t="str">
            <v>Zakho</v>
          </cell>
          <cell r="AF448" t="str">
            <v>Zakho</v>
          </cell>
          <cell r="AK448">
            <v>0</v>
          </cell>
          <cell r="AM448">
            <v>0</v>
          </cell>
        </row>
        <row r="449">
          <cell r="D449" t="str">
            <v>A21700254</v>
          </cell>
          <cell r="E449" t="str">
            <v>Ibrahim</v>
          </cell>
          <cell r="F449" t="str">
            <v>Fawzi</v>
          </cell>
          <cell r="G449" t="str">
            <v>Hasan</v>
          </cell>
          <cell r="H449" t="str">
            <v>Male</v>
          </cell>
          <cell r="I449">
            <v>1995</v>
          </cell>
          <cell r="J449" t="str">
            <v>Kurdish</v>
          </cell>
          <cell r="K449" t="str">
            <v>0750 764 1004</v>
          </cell>
          <cell r="N449" t="str">
            <v>No</v>
          </cell>
          <cell r="O449" t="str">
            <v>No</v>
          </cell>
          <cell r="P449" t="str">
            <v>Local</v>
          </cell>
          <cell r="Q449" t="str">
            <v>First Year</v>
          </cell>
          <cell r="R449" t="str">
            <v>Regular</v>
          </cell>
          <cell r="T449" t="str">
            <v>Conditional</v>
          </cell>
          <cell r="U449">
            <v>0</v>
          </cell>
          <cell r="V449" t="str">
            <v>Spring</v>
          </cell>
          <cell r="W449" t="str">
            <v>2017</v>
          </cell>
          <cell r="Z449" t="str">
            <v>High School</v>
          </cell>
          <cell r="AF449" t="str">
            <v>Duhok</v>
          </cell>
          <cell r="AK449">
            <v>0</v>
          </cell>
          <cell r="AM449">
            <v>0</v>
          </cell>
          <cell r="AP449">
            <v>1</v>
          </cell>
        </row>
        <row r="450">
          <cell r="D450" t="str">
            <v>A21700255</v>
          </cell>
          <cell r="E450" t="str">
            <v>Kamiran</v>
          </cell>
          <cell r="F450" t="str">
            <v>Shaker</v>
          </cell>
          <cell r="G450" t="str">
            <v>Salim</v>
          </cell>
          <cell r="H450" t="str">
            <v>Male</v>
          </cell>
          <cell r="I450">
            <v>1994</v>
          </cell>
          <cell r="J450" t="str">
            <v>Kurdish</v>
          </cell>
          <cell r="K450" t="str">
            <v>0750 476 1880</v>
          </cell>
          <cell r="L450" t="str">
            <v>0750 450 1343</v>
          </cell>
          <cell r="N450" t="str">
            <v>No</v>
          </cell>
          <cell r="O450" t="str">
            <v>No</v>
          </cell>
          <cell r="P450" t="str">
            <v>Local</v>
          </cell>
          <cell r="Q450" t="str">
            <v>First Year</v>
          </cell>
          <cell r="R450" t="str">
            <v>Regular</v>
          </cell>
          <cell r="S450" t="str">
            <v>Family Discount</v>
          </cell>
          <cell r="T450" t="str">
            <v>Conditional</v>
          </cell>
          <cell r="U450">
            <v>0</v>
          </cell>
          <cell r="V450" t="str">
            <v>Spring</v>
          </cell>
          <cell r="W450">
            <v>2017</v>
          </cell>
          <cell r="Z450" t="str">
            <v>High School</v>
          </cell>
          <cell r="AA450">
            <v>2015</v>
          </cell>
          <cell r="AD450" t="str">
            <v>Science</v>
          </cell>
          <cell r="AE450" t="str">
            <v>Kurd</v>
          </cell>
          <cell r="AF450" t="str">
            <v>Duhok</v>
          </cell>
          <cell r="AH450">
            <v>60</v>
          </cell>
          <cell r="AK450">
            <v>60</v>
          </cell>
          <cell r="AM450">
            <v>60</v>
          </cell>
          <cell r="AP450">
            <v>6</v>
          </cell>
          <cell r="BJ450">
            <v>1</v>
          </cell>
        </row>
        <row r="451">
          <cell r="D451" t="str">
            <v>A11700256</v>
          </cell>
          <cell r="E451" t="str">
            <v>Dunya</v>
          </cell>
          <cell r="F451" t="str">
            <v>Baez</v>
          </cell>
          <cell r="G451" t="str">
            <v>Kareem</v>
          </cell>
          <cell r="H451" t="str">
            <v>Female</v>
          </cell>
          <cell r="I451">
            <v>1994</v>
          </cell>
          <cell r="J451" t="str">
            <v>Kurdish</v>
          </cell>
          <cell r="K451" t="str">
            <v>0751 028 6810</v>
          </cell>
          <cell r="N451" t="str">
            <v>No</v>
          </cell>
          <cell r="O451" t="str">
            <v>No</v>
          </cell>
          <cell r="P451" t="str">
            <v>Local</v>
          </cell>
          <cell r="Q451" t="str">
            <v>First Year</v>
          </cell>
          <cell r="R451" t="str">
            <v>Regular</v>
          </cell>
          <cell r="T451" t="str">
            <v>Conditional</v>
          </cell>
          <cell r="U451">
            <v>0</v>
          </cell>
          <cell r="V451" t="str">
            <v>Fall</v>
          </cell>
          <cell r="W451" t="str">
            <v>2017</v>
          </cell>
          <cell r="Z451" t="str">
            <v>High School</v>
          </cell>
          <cell r="AA451">
            <v>2012</v>
          </cell>
          <cell r="AD451" t="str">
            <v>Arts</v>
          </cell>
          <cell r="AE451" t="str">
            <v>Kurd</v>
          </cell>
          <cell r="AF451" t="str">
            <v>Kirkuk</v>
          </cell>
          <cell r="AG451" t="str">
            <v>Dibis</v>
          </cell>
          <cell r="AH451">
            <v>95.4</v>
          </cell>
          <cell r="AK451">
            <v>95.4</v>
          </cell>
          <cell r="AM451">
            <v>95.4</v>
          </cell>
          <cell r="AP451">
            <v>7</v>
          </cell>
          <cell r="BB451">
            <v>2</v>
          </cell>
          <cell r="BC451">
            <v>3</v>
          </cell>
          <cell r="BG451">
            <v>1</v>
          </cell>
        </row>
        <row r="452">
          <cell r="D452" t="str">
            <v>A11700257</v>
          </cell>
          <cell r="E452" t="str">
            <v>Laween</v>
          </cell>
          <cell r="F452" t="str">
            <v>Hazim</v>
          </cell>
          <cell r="G452" t="str">
            <v>Ata</v>
          </cell>
          <cell r="H452" t="str">
            <v>Male</v>
          </cell>
          <cell r="I452">
            <v>1995</v>
          </cell>
          <cell r="J452" t="str">
            <v>Kurdish</v>
          </cell>
          <cell r="K452" t="str">
            <v>0750 722 4450</v>
          </cell>
          <cell r="N452" t="str">
            <v>No</v>
          </cell>
          <cell r="O452" t="str">
            <v>No</v>
          </cell>
          <cell r="P452" t="str">
            <v>Local</v>
          </cell>
          <cell r="Q452" t="str">
            <v>First Year</v>
          </cell>
          <cell r="R452" t="str">
            <v>Political Prisoner</v>
          </cell>
          <cell r="T452" t="str">
            <v>Conditional</v>
          </cell>
          <cell r="U452">
            <v>0</v>
          </cell>
          <cell r="V452" t="str">
            <v>Fall</v>
          </cell>
          <cell r="W452">
            <v>2017</v>
          </cell>
          <cell r="Z452" t="str">
            <v>High School</v>
          </cell>
          <cell r="AA452">
            <v>2016</v>
          </cell>
          <cell r="AD452" t="str">
            <v>Science</v>
          </cell>
          <cell r="AE452" t="str">
            <v>Kawa</v>
          </cell>
          <cell r="AF452" t="str">
            <v>Duhok</v>
          </cell>
          <cell r="AK452">
            <v>0</v>
          </cell>
          <cell r="AM452">
            <v>0</v>
          </cell>
        </row>
        <row r="453">
          <cell r="D453" t="str">
            <v>A11700258</v>
          </cell>
          <cell r="E453" t="str">
            <v>Hariwan</v>
          </cell>
          <cell r="F453" t="str">
            <v>Faisal</v>
          </cell>
          <cell r="G453" t="str">
            <v>Saleem</v>
          </cell>
          <cell r="H453" t="str">
            <v>Male</v>
          </cell>
          <cell r="I453">
            <v>1994</v>
          </cell>
          <cell r="J453" t="str">
            <v>Kurdish</v>
          </cell>
          <cell r="K453" t="str">
            <v>0750 215 1961</v>
          </cell>
          <cell r="N453" t="str">
            <v>No</v>
          </cell>
          <cell r="O453" t="str">
            <v>No</v>
          </cell>
          <cell r="P453" t="str">
            <v>Local</v>
          </cell>
          <cell r="Q453" t="str">
            <v>First Year</v>
          </cell>
          <cell r="R453" t="str">
            <v>Political Prisoner</v>
          </cell>
          <cell r="S453" t="str">
            <v>Family Discount</v>
          </cell>
          <cell r="T453" t="str">
            <v>Conditional</v>
          </cell>
          <cell r="U453">
            <v>0</v>
          </cell>
          <cell r="V453" t="str">
            <v>Fall</v>
          </cell>
          <cell r="W453" t="str">
            <v>2017</v>
          </cell>
          <cell r="Z453" t="str">
            <v>High School</v>
          </cell>
          <cell r="AA453">
            <v>2016</v>
          </cell>
          <cell r="AD453" t="str">
            <v>Science</v>
          </cell>
          <cell r="AE453" t="str">
            <v>Begova</v>
          </cell>
          <cell r="AF453" t="str">
            <v>Zakho</v>
          </cell>
          <cell r="AG453" t="str">
            <v>Begova</v>
          </cell>
          <cell r="AK453">
            <v>0</v>
          </cell>
          <cell r="AM453">
            <v>0</v>
          </cell>
          <cell r="AP453">
            <v>1</v>
          </cell>
        </row>
        <row r="454">
          <cell r="D454" t="str">
            <v>A11700259</v>
          </cell>
          <cell r="E454" t="str">
            <v>Harwan</v>
          </cell>
          <cell r="F454" t="str">
            <v>Faisal</v>
          </cell>
          <cell r="G454" t="str">
            <v>Saleem</v>
          </cell>
          <cell r="H454" t="str">
            <v>Male</v>
          </cell>
          <cell r="I454">
            <v>1996</v>
          </cell>
          <cell r="J454" t="str">
            <v>Kurdish</v>
          </cell>
          <cell r="K454" t="str">
            <v>0750 417 7593</v>
          </cell>
          <cell r="N454" t="str">
            <v>No</v>
          </cell>
          <cell r="O454" t="str">
            <v>No</v>
          </cell>
          <cell r="P454" t="str">
            <v>Local</v>
          </cell>
          <cell r="Q454" t="str">
            <v>First Year</v>
          </cell>
          <cell r="R454" t="str">
            <v>Political Prisoner</v>
          </cell>
          <cell r="T454" t="str">
            <v>Conditional</v>
          </cell>
          <cell r="U454">
            <v>0</v>
          </cell>
          <cell r="V454" t="str">
            <v>Fall</v>
          </cell>
          <cell r="W454">
            <v>2017</v>
          </cell>
          <cell r="Z454" t="str">
            <v>High School</v>
          </cell>
          <cell r="AA454">
            <v>2016</v>
          </cell>
          <cell r="AD454" t="str">
            <v>Science</v>
          </cell>
          <cell r="AF454" t="str">
            <v>Zakho</v>
          </cell>
          <cell r="AG454" t="str">
            <v>Begova</v>
          </cell>
          <cell r="AK454">
            <v>0</v>
          </cell>
          <cell r="AM454">
            <v>0</v>
          </cell>
          <cell r="AP454">
            <v>1</v>
          </cell>
        </row>
        <row r="455">
          <cell r="D455" t="str">
            <v>A11700260</v>
          </cell>
          <cell r="E455" t="str">
            <v>Dolovan</v>
          </cell>
          <cell r="F455" t="str">
            <v>Nechirvan</v>
          </cell>
          <cell r="G455" t="str">
            <v>Ramadhan</v>
          </cell>
          <cell r="H455" t="str">
            <v>Male</v>
          </cell>
          <cell r="I455">
            <v>1995</v>
          </cell>
          <cell r="J455" t="str">
            <v>Kurdish</v>
          </cell>
          <cell r="K455" t="str">
            <v>0751 540 4066</v>
          </cell>
          <cell r="N455" t="str">
            <v>No</v>
          </cell>
          <cell r="O455" t="str">
            <v>No</v>
          </cell>
          <cell r="P455" t="str">
            <v>Local</v>
          </cell>
          <cell r="Q455" t="str">
            <v>First Year</v>
          </cell>
          <cell r="R455" t="str">
            <v>Regular</v>
          </cell>
          <cell r="T455" t="str">
            <v>Conditional</v>
          </cell>
          <cell r="U455">
            <v>0</v>
          </cell>
          <cell r="V455" t="str">
            <v>Fall</v>
          </cell>
          <cell r="W455" t="str">
            <v>2017</v>
          </cell>
          <cell r="Z455" t="str">
            <v>High School</v>
          </cell>
          <cell r="AA455">
            <v>2016</v>
          </cell>
          <cell r="AD455" t="str">
            <v>Science</v>
          </cell>
          <cell r="AE455" t="str">
            <v>Vajeen</v>
          </cell>
          <cell r="AF455" t="str">
            <v>Zakho</v>
          </cell>
          <cell r="AK455">
            <v>0</v>
          </cell>
          <cell r="AM455">
            <v>0</v>
          </cell>
          <cell r="AP455">
            <v>5</v>
          </cell>
        </row>
        <row r="456">
          <cell r="D456" t="str">
            <v>A11700261</v>
          </cell>
          <cell r="E456" t="str">
            <v>Natalie</v>
          </cell>
          <cell r="F456" t="str">
            <v>Alec</v>
          </cell>
          <cell r="G456" t="str">
            <v>Zaya</v>
          </cell>
          <cell r="H456" t="str">
            <v>Female</v>
          </cell>
          <cell r="I456">
            <v>1997</v>
          </cell>
          <cell r="J456" t="str">
            <v>Kurdish</v>
          </cell>
          <cell r="K456" t="str">
            <v>0750 459 3787</v>
          </cell>
          <cell r="N456" t="str">
            <v>No</v>
          </cell>
          <cell r="O456" t="str">
            <v>No</v>
          </cell>
          <cell r="P456" t="str">
            <v>Local</v>
          </cell>
          <cell r="Q456" t="str">
            <v>First Year</v>
          </cell>
          <cell r="R456" t="str">
            <v>Regular</v>
          </cell>
          <cell r="T456" t="str">
            <v>Conditional</v>
          </cell>
          <cell r="U456">
            <v>0</v>
          </cell>
          <cell r="V456" t="str">
            <v>Fall</v>
          </cell>
          <cell r="W456">
            <v>2017</v>
          </cell>
          <cell r="Z456" t="str">
            <v>High School</v>
          </cell>
          <cell r="AA456">
            <v>2015</v>
          </cell>
          <cell r="AD456" t="str">
            <v>Science</v>
          </cell>
          <cell r="AE456" t="str">
            <v>Naseben</v>
          </cell>
          <cell r="AF456" t="str">
            <v>Duhok</v>
          </cell>
          <cell r="AH456">
            <v>74.7</v>
          </cell>
          <cell r="AI456">
            <v>97.2</v>
          </cell>
          <cell r="AJ456">
            <v>95.6</v>
          </cell>
          <cell r="AK456">
            <v>79.040000000000006</v>
          </cell>
          <cell r="AL456">
            <v>3</v>
          </cell>
          <cell r="AM456">
            <v>82.04</v>
          </cell>
          <cell r="AP456">
            <v>8</v>
          </cell>
        </row>
        <row r="457">
          <cell r="D457" t="str">
            <v>A11700262</v>
          </cell>
          <cell r="E457" t="str">
            <v>Ari</v>
          </cell>
          <cell r="F457" t="str">
            <v>Farhad</v>
          </cell>
          <cell r="G457" t="str">
            <v>Mohammed</v>
          </cell>
          <cell r="H457" t="str">
            <v>Male</v>
          </cell>
          <cell r="I457">
            <v>1995</v>
          </cell>
          <cell r="J457" t="str">
            <v>Kurdish</v>
          </cell>
          <cell r="K457" t="str">
            <v>0750 420 5050</v>
          </cell>
          <cell r="N457" t="str">
            <v>No</v>
          </cell>
          <cell r="O457" t="str">
            <v>No</v>
          </cell>
          <cell r="P457" t="str">
            <v>Local</v>
          </cell>
          <cell r="Q457" t="str">
            <v>First Year</v>
          </cell>
          <cell r="R457" t="str">
            <v>Regular</v>
          </cell>
          <cell r="S457" t="str">
            <v>Family Discount</v>
          </cell>
          <cell r="T457" t="str">
            <v>Conditional</v>
          </cell>
          <cell r="U457">
            <v>0</v>
          </cell>
          <cell r="V457" t="str">
            <v>Fall</v>
          </cell>
          <cell r="W457" t="str">
            <v>2017</v>
          </cell>
          <cell r="Z457" t="str">
            <v>Institute</v>
          </cell>
          <cell r="AA457">
            <v>2017</v>
          </cell>
          <cell r="AD457" t="str">
            <v>Science</v>
          </cell>
          <cell r="AE457" t="str">
            <v>Gara Institute</v>
          </cell>
          <cell r="AF457" t="str">
            <v>Duhok</v>
          </cell>
          <cell r="AK457">
            <v>0</v>
          </cell>
          <cell r="AM457">
            <v>0</v>
          </cell>
          <cell r="AP457">
            <v>2</v>
          </cell>
        </row>
        <row r="458">
          <cell r="D458" t="str">
            <v>A21700263</v>
          </cell>
          <cell r="E458" t="str">
            <v>Nawzad</v>
          </cell>
          <cell r="F458" t="str">
            <v>Abdulmajeed</v>
          </cell>
          <cell r="G458" t="str">
            <v>Abdulhameed</v>
          </cell>
          <cell r="H458" t="str">
            <v>Male</v>
          </cell>
          <cell r="I458">
            <v>1988</v>
          </cell>
          <cell r="J458" t="str">
            <v>Kurdish</v>
          </cell>
          <cell r="K458" t="str">
            <v>0750 409 4900</v>
          </cell>
          <cell r="N458" t="str">
            <v>No</v>
          </cell>
          <cell r="O458" t="str">
            <v>No</v>
          </cell>
          <cell r="P458" t="str">
            <v>Local</v>
          </cell>
          <cell r="Q458" t="str">
            <v>First Year</v>
          </cell>
          <cell r="R458" t="str">
            <v>Political Prisoner</v>
          </cell>
          <cell r="T458" t="str">
            <v>Conditional</v>
          </cell>
          <cell r="U458">
            <v>0</v>
          </cell>
          <cell r="V458" t="str">
            <v>Spring</v>
          </cell>
          <cell r="W458">
            <v>2017</v>
          </cell>
          <cell r="Z458" t="str">
            <v>High School</v>
          </cell>
          <cell r="AA458">
            <v>2015</v>
          </cell>
          <cell r="AD458" t="str">
            <v>Arts</v>
          </cell>
          <cell r="AE458" t="str">
            <v>Home School</v>
          </cell>
          <cell r="AF458" t="str">
            <v>Duhok</v>
          </cell>
          <cell r="AH458">
            <v>61</v>
          </cell>
          <cell r="AK458">
            <v>61</v>
          </cell>
          <cell r="AM458">
            <v>61</v>
          </cell>
          <cell r="AP458">
            <v>1</v>
          </cell>
        </row>
        <row r="459">
          <cell r="D459" t="str">
            <v>A21700264</v>
          </cell>
          <cell r="E459" t="str">
            <v>Fadi</v>
          </cell>
          <cell r="F459" t="str">
            <v>Rasim</v>
          </cell>
          <cell r="G459" t="str">
            <v>Hurmiz</v>
          </cell>
          <cell r="H459" t="str">
            <v>Male</v>
          </cell>
          <cell r="I459">
            <v>1992</v>
          </cell>
          <cell r="J459" t="str">
            <v>Kurdish</v>
          </cell>
          <cell r="N459" t="str">
            <v>No</v>
          </cell>
          <cell r="O459" t="str">
            <v>No</v>
          </cell>
          <cell r="P459" t="str">
            <v>Local</v>
          </cell>
          <cell r="Q459" t="str">
            <v>First Year</v>
          </cell>
          <cell r="R459" t="str">
            <v>Regular</v>
          </cell>
          <cell r="S459" t="str">
            <v>Family Discount</v>
          </cell>
          <cell r="T459" t="str">
            <v>Conditional</v>
          </cell>
          <cell r="U459">
            <v>0</v>
          </cell>
          <cell r="V459" t="str">
            <v>Spring</v>
          </cell>
          <cell r="W459" t="str">
            <v>2017</v>
          </cell>
          <cell r="Z459" t="str">
            <v>High School</v>
          </cell>
          <cell r="AA459">
            <v>2014</v>
          </cell>
          <cell r="AH459">
            <v>60</v>
          </cell>
          <cell r="AK459">
            <v>60</v>
          </cell>
          <cell r="AM459">
            <v>60</v>
          </cell>
          <cell r="AP459">
            <v>3</v>
          </cell>
        </row>
        <row r="460">
          <cell r="D460" t="str">
            <v>A21700265</v>
          </cell>
          <cell r="E460" t="str">
            <v>Vin</v>
          </cell>
          <cell r="F460" t="str">
            <v>Jamal</v>
          </cell>
          <cell r="G460" t="str">
            <v>Mohammed</v>
          </cell>
          <cell r="H460" t="str">
            <v>Female</v>
          </cell>
          <cell r="I460">
            <v>1998</v>
          </cell>
          <cell r="J460" t="str">
            <v>Kurdish</v>
          </cell>
          <cell r="K460" t="str">
            <v>0750 378 6741</v>
          </cell>
          <cell r="N460" t="str">
            <v>No</v>
          </cell>
          <cell r="O460" t="str">
            <v>No</v>
          </cell>
          <cell r="P460" t="str">
            <v>Local</v>
          </cell>
          <cell r="Q460" t="str">
            <v>First Year</v>
          </cell>
          <cell r="R460" t="str">
            <v>Regular</v>
          </cell>
          <cell r="T460" t="str">
            <v>Conditional</v>
          </cell>
          <cell r="U460">
            <v>0</v>
          </cell>
          <cell r="V460" t="str">
            <v>Spring</v>
          </cell>
          <cell r="W460">
            <v>2017</v>
          </cell>
          <cell r="Z460" t="str">
            <v>High School</v>
          </cell>
          <cell r="AA460">
            <v>2016</v>
          </cell>
          <cell r="AD460" t="str">
            <v>Science</v>
          </cell>
          <cell r="AE460" t="str">
            <v>Bijare</v>
          </cell>
          <cell r="AF460" t="str">
            <v>Duhok</v>
          </cell>
          <cell r="AG460" t="str">
            <v>Barzan,st Ronahi Q.</v>
          </cell>
          <cell r="AH460">
            <v>84.2</v>
          </cell>
          <cell r="AK460">
            <v>84.2</v>
          </cell>
          <cell r="AL460">
            <v>3</v>
          </cell>
          <cell r="AM460">
            <v>87.2</v>
          </cell>
          <cell r="AP460">
            <v>4</v>
          </cell>
        </row>
        <row r="461">
          <cell r="D461" t="str">
            <v>A21700266</v>
          </cell>
          <cell r="E461" t="str">
            <v>Sipal</v>
          </cell>
          <cell r="F461" t="str">
            <v>Ababaker</v>
          </cell>
          <cell r="G461" t="str">
            <v>Salih</v>
          </cell>
          <cell r="H461" t="str">
            <v>Female</v>
          </cell>
          <cell r="I461">
            <v>1997</v>
          </cell>
          <cell r="J461" t="str">
            <v>Kurdish</v>
          </cell>
          <cell r="K461" t="str">
            <v>0750 370 5170</v>
          </cell>
          <cell r="N461" t="str">
            <v>No</v>
          </cell>
          <cell r="O461" t="str">
            <v>No</v>
          </cell>
          <cell r="P461" t="str">
            <v>Local</v>
          </cell>
          <cell r="Q461" t="str">
            <v>First Year</v>
          </cell>
          <cell r="R461" t="str">
            <v>Martyr's Aid</v>
          </cell>
          <cell r="T461" t="str">
            <v>Conditional</v>
          </cell>
          <cell r="U461">
            <v>0</v>
          </cell>
          <cell r="V461" t="str">
            <v>Spring</v>
          </cell>
          <cell r="W461" t="str">
            <v>2017</v>
          </cell>
          <cell r="Z461" t="str">
            <v>High School</v>
          </cell>
          <cell r="AA461">
            <v>2016</v>
          </cell>
          <cell r="AD461" t="str">
            <v>Science</v>
          </cell>
          <cell r="AE461" t="str">
            <v>Kajeen</v>
          </cell>
          <cell r="AF461" t="str">
            <v>Duhok</v>
          </cell>
          <cell r="AG461" t="str">
            <v>Malta</v>
          </cell>
          <cell r="AH461">
            <v>81.14</v>
          </cell>
          <cell r="AK461">
            <v>81.14</v>
          </cell>
          <cell r="AM461">
            <v>81.14</v>
          </cell>
          <cell r="AP461">
            <v>3</v>
          </cell>
        </row>
        <row r="462">
          <cell r="D462" t="str">
            <v>A21700267</v>
          </cell>
          <cell r="E462" t="str">
            <v>Mahmood</v>
          </cell>
          <cell r="F462" t="str">
            <v>Faisal</v>
          </cell>
          <cell r="G462" t="str">
            <v>Ramadhan</v>
          </cell>
          <cell r="H462" t="str">
            <v>Male</v>
          </cell>
          <cell r="I462">
            <v>1996</v>
          </cell>
          <cell r="J462" t="str">
            <v>Kurdish</v>
          </cell>
          <cell r="K462" t="str">
            <v>0750 396 4636</v>
          </cell>
          <cell r="L462" t="str">
            <v>0750 478 1722</v>
          </cell>
          <cell r="N462" t="str">
            <v>No</v>
          </cell>
          <cell r="O462" t="str">
            <v>No</v>
          </cell>
          <cell r="P462" t="str">
            <v>Local</v>
          </cell>
          <cell r="Q462" t="str">
            <v>First Year</v>
          </cell>
          <cell r="R462" t="str">
            <v>Regular</v>
          </cell>
          <cell r="T462" t="str">
            <v>Conditional</v>
          </cell>
          <cell r="U462">
            <v>0</v>
          </cell>
          <cell r="V462" t="str">
            <v>Spring</v>
          </cell>
          <cell r="W462">
            <v>2017</v>
          </cell>
          <cell r="Z462" t="str">
            <v>High School</v>
          </cell>
          <cell r="AA462">
            <v>2014</v>
          </cell>
          <cell r="AD462" t="str">
            <v>Science</v>
          </cell>
          <cell r="AE462" t="str">
            <v>Zakho</v>
          </cell>
          <cell r="AF462" t="str">
            <v>Zakho</v>
          </cell>
          <cell r="AH462">
            <v>80.709999999999994</v>
          </cell>
          <cell r="AK462">
            <v>80.709999999999994</v>
          </cell>
          <cell r="AM462">
            <v>80.709999999999994</v>
          </cell>
          <cell r="AP462">
            <v>1</v>
          </cell>
        </row>
        <row r="463">
          <cell r="D463" t="str">
            <v>A21700268</v>
          </cell>
          <cell r="E463" t="str">
            <v>Abdulsalam</v>
          </cell>
          <cell r="F463" t="str">
            <v>Hameed</v>
          </cell>
          <cell r="G463" t="str">
            <v>Abdi</v>
          </cell>
          <cell r="H463" t="str">
            <v>Male</v>
          </cell>
          <cell r="I463">
            <v>1994</v>
          </cell>
          <cell r="J463" t="str">
            <v>Kurdish</v>
          </cell>
          <cell r="K463" t="str">
            <v>0750 751 7772</v>
          </cell>
          <cell r="N463" t="str">
            <v>No</v>
          </cell>
          <cell r="O463" t="str">
            <v>No</v>
          </cell>
          <cell r="P463" t="str">
            <v>Local</v>
          </cell>
          <cell r="Q463" t="str">
            <v>First Year</v>
          </cell>
          <cell r="R463" t="str">
            <v>Regular</v>
          </cell>
          <cell r="T463" t="str">
            <v>Conditional</v>
          </cell>
          <cell r="U463">
            <v>0</v>
          </cell>
          <cell r="V463" t="str">
            <v>Spring</v>
          </cell>
          <cell r="W463" t="str">
            <v>2017</v>
          </cell>
          <cell r="Z463" t="str">
            <v>High School</v>
          </cell>
          <cell r="AA463">
            <v>2015</v>
          </cell>
          <cell r="AD463" t="str">
            <v>Science</v>
          </cell>
          <cell r="AE463" t="str">
            <v>Sarkesh</v>
          </cell>
          <cell r="AF463" t="str">
            <v>Duhok</v>
          </cell>
          <cell r="AG463" t="str">
            <v>Shekhan</v>
          </cell>
          <cell r="AH463">
            <v>56.6</v>
          </cell>
          <cell r="AK463">
            <v>56.6</v>
          </cell>
          <cell r="AM463">
            <v>56.6</v>
          </cell>
          <cell r="AP463">
            <v>3</v>
          </cell>
          <cell r="BB463">
            <v>1</v>
          </cell>
        </row>
        <row r="464">
          <cell r="D464" t="str">
            <v>A21700269</v>
          </cell>
          <cell r="E464" t="str">
            <v>Mizhda</v>
          </cell>
          <cell r="F464" t="str">
            <v>Ahmed</v>
          </cell>
          <cell r="G464" t="str">
            <v>Ali</v>
          </cell>
          <cell r="H464" t="str">
            <v>Female</v>
          </cell>
          <cell r="I464">
            <v>1999</v>
          </cell>
          <cell r="J464" t="str">
            <v>Kurdish</v>
          </cell>
          <cell r="K464" t="str">
            <v>0750 450 9776</v>
          </cell>
          <cell r="N464" t="str">
            <v>No</v>
          </cell>
          <cell r="O464" t="str">
            <v>No</v>
          </cell>
          <cell r="P464" t="str">
            <v>Local</v>
          </cell>
          <cell r="Q464" t="str">
            <v>First Year</v>
          </cell>
          <cell r="R464" t="str">
            <v>Regular</v>
          </cell>
          <cell r="T464" t="str">
            <v>Conditional</v>
          </cell>
          <cell r="U464">
            <v>0</v>
          </cell>
          <cell r="V464" t="str">
            <v>Spring</v>
          </cell>
          <cell r="W464">
            <v>2017</v>
          </cell>
          <cell r="Z464" t="str">
            <v>High School</v>
          </cell>
          <cell r="AA464">
            <v>2016</v>
          </cell>
          <cell r="AD464" t="str">
            <v>Science</v>
          </cell>
          <cell r="AE464" t="str">
            <v>Bizhare</v>
          </cell>
          <cell r="AF464" t="str">
            <v>Duhok</v>
          </cell>
          <cell r="AH464">
            <v>85</v>
          </cell>
          <cell r="AK464">
            <v>85</v>
          </cell>
          <cell r="AL464">
            <v>3</v>
          </cell>
          <cell r="AM464">
            <v>88</v>
          </cell>
          <cell r="AP464">
            <v>3</v>
          </cell>
        </row>
        <row r="465">
          <cell r="D465" t="str">
            <v>A21700270</v>
          </cell>
          <cell r="E465" t="str">
            <v>Ahmed</v>
          </cell>
          <cell r="F465" t="str">
            <v>Yaseen</v>
          </cell>
          <cell r="G465" t="str">
            <v>Mohammad</v>
          </cell>
          <cell r="H465" t="str">
            <v>Male</v>
          </cell>
          <cell r="I465">
            <v>1999</v>
          </cell>
          <cell r="J465" t="str">
            <v>Kurdish</v>
          </cell>
          <cell r="K465" t="str">
            <v>0750 325 5329</v>
          </cell>
          <cell r="L465" t="str">
            <v>0750 450 9918</v>
          </cell>
          <cell r="N465" t="str">
            <v>No</v>
          </cell>
          <cell r="O465" t="str">
            <v>No</v>
          </cell>
          <cell r="P465" t="str">
            <v>Local</v>
          </cell>
          <cell r="Q465" t="str">
            <v>First Year</v>
          </cell>
          <cell r="R465" t="str">
            <v>Regular</v>
          </cell>
          <cell r="T465" t="str">
            <v>Conditional</v>
          </cell>
          <cell r="U465">
            <v>0</v>
          </cell>
          <cell r="V465" t="str">
            <v>Spring</v>
          </cell>
          <cell r="W465" t="str">
            <v>2017</v>
          </cell>
          <cell r="Z465" t="str">
            <v>High School</v>
          </cell>
          <cell r="AA465">
            <v>2016</v>
          </cell>
          <cell r="AD465" t="str">
            <v>Science</v>
          </cell>
          <cell r="AE465" t="str">
            <v>Dijla</v>
          </cell>
          <cell r="AF465" t="str">
            <v>Zakho</v>
          </cell>
          <cell r="AH465">
            <v>79.400000000000006</v>
          </cell>
          <cell r="AK465">
            <v>79.400000000000006</v>
          </cell>
          <cell r="AL465">
            <v>3</v>
          </cell>
          <cell r="AM465">
            <v>82.4</v>
          </cell>
          <cell r="AP465">
            <v>4</v>
          </cell>
        </row>
        <row r="466">
          <cell r="D466" t="str">
            <v>A21700271</v>
          </cell>
          <cell r="E466" t="str">
            <v>Rondik</v>
          </cell>
          <cell r="F466" t="str">
            <v>Sherwan</v>
          </cell>
          <cell r="G466" t="str">
            <v>Ahmed</v>
          </cell>
          <cell r="H466" t="str">
            <v>Female</v>
          </cell>
          <cell r="I466">
            <v>1998</v>
          </cell>
          <cell r="J466" t="str">
            <v>Kurdish</v>
          </cell>
          <cell r="K466" t="str">
            <v>0750 7929491</v>
          </cell>
          <cell r="N466" t="str">
            <v>No</v>
          </cell>
          <cell r="O466" t="str">
            <v>No</v>
          </cell>
          <cell r="P466" t="str">
            <v>Local</v>
          </cell>
          <cell r="Q466" t="str">
            <v>First Year</v>
          </cell>
          <cell r="R466" t="str">
            <v>Regular</v>
          </cell>
          <cell r="T466" t="str">
            <v>Conditional</v>
          </cell>
          <cell r="U466">
            <v>0</v>
          </cell>
          <cell r="V466" t="str">
            <v>Spring</v>
          </cell>
          <cell r="W466">
            <v>2017</v>
          </cell>
          <cell r="Z466" t="str">
            <v>High School</v>
          </cell>
          <cell r="AA466">
            <v>2016</v>
          </cell>
          <cell r="AD466" t="str">
            <v>Science</v>
          </cell>
          <cell r="AE466" t="str">
            <v>Bizhare</v>
          </cell>
          <cell r="AF466" t="str">
            <v>Duhok</v>
          </cell>
          <cell r="AG466" t="str">
            <v>Hay Al-Shorta</v>
          </cell>
          <cell r="AH466">
            <v>72.599999999999994</v>
          </cell>
          <cell r="AI466">
            <v>80</v>
          </cell>
          <cell r="AJ466">
            <v>88</v>
          </cell>
          <cell r="AK466">
            <v>74.88</v>
          </cell>
          <cell r="AL466">
            <v>3</v>
          </cell>
          <cell r="AM466">
            <v>77.88</v>
          </cell>
          <cell r="AP466">
            <v>2</v>
          </cell>
          <cell r="AW466">
            <v>1</v>
          </cell>
        </row>
        <row r="467">
          <cell r="D467" t="str">
            <v>A21700272</v>
          </cell>
          <cell r="E467" t="str">
            <v>Mohammed</v>
          </cell>
          <cell r="F467" t="str">
            <v>Rashad</v>
          </cell>
          <cell r="G467" t="str">
            <v>Azeez</v>
          </cell>
          <cell r="H467" t="str">
            <v>Male</v>
          </cell>
          <cell r="I467">
            <v>1997</v>
          </cell>
          <cell r="J467" t="str">
            <v>Kurdish</v>
          </cell>
          <cell r="K467" t="str">
            <v>0750 708 0408</v>
          </cell>
          <cell r="N467" t="str">
            <v>No</v>
          </cell>
          <cell r="O467" t="str">
            <v>No</v>
          </cell>
          <cell r="P467" t="str">
            <v>Local</v>
          </cell>
          <cell r="Q467" t="str">
            <v>First Year</v>
          </cell>
          <cell r="R467" t="str">
            <v>Regular</v>
          </cell>
          <cell r="T467" t="str">
            <v>Conditional</v>
          </cell>
          <cell r="U467">
            <v>0</v>
          </cell>
          <cell r="V467" t="str">
            <v>Spring</v>
          </cell>
          <cell r="W467" t="str">
            <v>2017</v>
          </cell>
          <cell r="Z467" t="str">
            <v>High School</v>
          </cell>
          <cell r="AA467">
            <v>2016</v>
          </cell>
          <cell r="AD467" t="str">
            <v>Science</v>
          </cell>
          <cell r="AF467" t="str">
            <v>Hawler</v>
          </cell>
          <cell r="AK467">
            <v>0</v>
          </cell>
          <cell r="AM467">
            <v>0</v>
          </cell>
          <cell r="AP467">
            <v>4</v>
          </cell>
        </row>
        <row r="468">
          <cell r="D468" t="str">
            <v>A21700273</v>
          </cell>
          <cell r="E468" t="str">
            <v>MohamedAmin</v>
          </cell>
          <cell r="F468" t="str">
            <v>Ali</v>
          </cell>
          <cell r="G468" t="str">
            <v>MohamedAmin</v>
          </cell>
          <cell r="H468" t="str">
            <v>Male</v>
          </cell>
          <cell r="I468">
            <v>1997</v>
          </cell>
          <cell r="J468" t="str">
            <v>Kurdish</v>
          </cell>
          <cell r="K468" t="str">
            <v>0751 234 1997</v>
          </cell>
          <cell r="N468" t="str">
            <v>No</v>
          </cell>
          <cell r="O468" t="str">
            <v>No</v>
          </cell>
          <cell r="P468" t="str">
            <v>Local</v>
          </cell>
          <cell r="Q468" t="str">
            <v>First Year</v>
          </cell>
          <cell r="R468" t="str">
            <v>Regular</v>
          </cell>
          <cell r="T468" t="str">
            <v>Conditional</v>
          </cell>
          <cell r="U468">
            <v>0</v>
          </cell>
          <cell r="V468" t="str">
            <v>Spring</v>
          </cell>
          <cell r="W468">
            <v>2017</v>
          </cell>
          <cell r="Z468" t="str">
            <v>High School</v>
          </cell>
          <cell r="AA468">
            <v>2016</v>
          </cell>
          <cell r="AD468" t="str">
            <v>Science</v>
          </cell>
          <cell r="AE468" t="str">
            <v>Jiyar Private school</v>
          </cell>
          <cell r="AF468" t="str">
            <v>Hawler</v>
          </cell>
          <cell r="AH468">
            <v>87.5</v>
          </cell>
          <cell r="AI468">
            <v>87.25</v>
          </cell>
          <cell r="AJ468">
            <v>95.79</v>
          </cell>
          <cell r="AK468">
            <v>88.304000000000002</v>
          </cell>
          <cell r="AM468">
            <v>88.304000000000002</v>
          </cell>
          <cell r="AP468">
            <v>4</v>
          </cell>
        </row>
        <row r="469">
          <cell r="D469" t="str">
            <v>A21700274</v>
          </cell>
          <cell r="E469" t="str">
            <v>Walat</v>
          </cell>
          <cell r="F469" t="str">
            <v>Salih</v>
          </cell>
          <cell r="G469" t="str">
            <v>Mohammed</v>
          </cell>
          <cell r="H469" t="str">
            <v>Male</v>
          </cell>
          <cell r="I469">
            <v>1994</v>
          </cell>
          <cell r="J469" t="str">
            <v>Kurdish</v>
          </cell>
          <cell r="K469">
            <v>750</v>
          </cell>
          <cell r="N469" t="str">
            <v>No</v>
          </cell>
          <cell r="O469" t="str">
            <v>No</v>
          </cell>
          <cell r="P469" t="str">
            <v>Local</v>
          </cell>
          <cell r="Q469" t="str">
            <v>First Year</v>
          </cell>
          <cell r="R469" t="str">
            <v>Regular</v>
          </cell>
          <cell r="T469" t="str">
            <v>Conditional</v>
          </cell>
          <cell r="U469">
            <v>0</v>
          </cell>
          <cell r="V469" t="str">
            <v>Spring</v>
          </cell>
          <cell r="W469" t="str">
            <v>2017</v>
          </cell>
          <cell r="Z469" t="str">
            <v>High School</v>
          </cell>
          <cell r="AA469">
            <v>2012</v>
          </cell>
          <cell r="AD469" t="str">
            <v>Arts</v>
          </cell>
          <cell r="AE469" t="str">
            <v>Gali</v>
          </cell>
          <cell r="AF469" t="str">
            <v>Zakho</v>
          </cell>
          <cell r="AH469">
            <v>61</v>
          </cell>
          <cell r="AK469">
            <v>61</v>
          </cell>
          <cell r="AM469">
            <v>61</v>
          </cell>
        </row>
        <row r="470">
          <cell r="D470" t="str">
            <v>A21700275</v>
          </cell>
          <cell r="E470" t="str">
            <v>Bekas</v>
          </cell>
          <cell r="F470" t="str">
            <v>Shawkat</v>
          </cell>
          <cell r="G470" t="str">
            <v>Tayib</v>
          </cell>
          <cell r="H470" t="str">
            <v>Male</v>
          </cell>
          <cell r="I470">
            <v>1995</v>
          </cell>
          <cell r="J470" t="str">
            <v>Kurdish</v>
          </cell>
          <cell r="K470" t="str">
            <v>0750 364 1653</v>
          </cell>
          <cell r="N470" t="str">
            <v>No</v>
          </cell>
          <cell r="O470" t="str">
            <v>No</v>
          </cell>
          <cell r="P470" t="str">
            <v>Local</v>
          </cell>
          <cell r="Q470" t="str">
            <v>First Year</v>
          </cell>
          <cell r="R470" t="str">
            <v>Regular</v>
          </cell>
          <cell r="T470" t="str">
            <v>Conditional</v>
          </cell>
          <cell r="U470">
            <v>0</v>
          </cell>
          <cell r="V470" t="str">
            <v>Spring</v>
          </cell>
          <cell r="W470">
            <v>2017</v>
          </cell>
          <cell r="Z470" t="str">
            <v>High School</v>
          </cell>
          <cell r="AA470">
            <v>2015</v>
          </cell>
          <cell r="AD470" t="str">
            <v>Science</v>
          </cell>
          <cell r="AE470" t="str">
            <v>Vazheen</v>
          </cell>
          <cell r="AF470" t="str">
            <v>Zakho</v>
          </cell>
          <cell r="AK470">
            <v>0</v>
          </cell>
          <cell r="AM470">
            <v>0</v>
          </cell>
        </row>
        <row r="471">
          <cell r="D471" t="str">
            <v>A21700276</v>
          </cell>
          <cell r="E471" t="str">
            <v>Shari</v>
          </cell>
          <cell r="F471" t="str">
            <v>Antar</v>
          </cell>
          <cell r="G471" t="str">
            <v>Zibari</v>
          </cell>
          <cell r="H471" t="str">
            <v>Male</v>
          </cell>
          <cell r="I471">
            <v>1999</v>
          </cell>
          <cell r="J471" t="str">
            <v>Kurdish</v>
          </cell>
          <cell r="K471" t="str">
            <v>0750 485 4484</v>
          </cell>
          <cell r="N471" t="str">
            <v>No</v>
          </cell>
          <cell r="O471" t="str">
            <v>No</v>
          </cell>
          <cell r="P471" t="str">
            <v>Local</v>
          </cell>
          <cell r="Q471" t="str">
            <v>First Year</v>
          </cell>
          <cell r="R471" t="str">
            <v>Regular</v>
          </cell>
          <cell r="S471" t="str">
            <v>Family Discount</v>
          </cell>
          <cell r="T471" t="str">
            <v>Conditional</v>
          </cell>
          <cell r="U471">
            <v>0</v>
          </cell>
          <cell r="V471" t="str">
            <v>Spring</v>
          </cell>
          <cell r="W471" t="str">
            <v>2017</v>
          </cell>
          <cell r="Z471" t="str">
            <v>High School</v>
          </cell>
          <cell r="AA471">
            <v>2016</v>
          </cell>
          <cell r="AD471" t="str">
            <v>Arts</v>
          </cell>
          <cell r="AE471" t="str">
            <v>Sabis</v>
          </cell>
          <cell r="AF471" t="str">
            <v>Hawler</v>
          </cell>
          <cell r="AG471" t="str">
            <v>Masif Salah Al-deen</v>
          </cell>
          <cell r="AH471">
            <v>74.25</v>
          </cell>
          <cell r="AK471">
            <v>74.25</v>
          </cell>
          <cell r="AM471">
            <v>74.25</v>
          </cell>
          <cell r="AN471">
            <v>81</v>
          </cell>
          <cell r="BB471">
            <v>1</v>
          </cell>
        </row>
        <row r="472">
          <cell r="D472" t="str">
            <v>A21700277</v>
          </cell>
          <cell r="E472" t="str">
            <v>Sarwan</v>
          </cell>
          <cell r="F472" t="str">
            <v>Sakvan</v>
          </cell>
          <cell r="G472" t="str">
            <v>Osman</v>
          </cell>
          <cell r="H472" t="str">
            <v>Male</v>
          </cell>
          <cell r="I472">
            <v>1992</v>
          </cell>
          <cell r="J472" t="str">
            <v>Kurdish</v>
          </cell>
          <cell r="K472" t="str">
            <v>0750 478 9880</v>
          </cell>
          <cell r="N472" t="str">
            <v>No</v>
          </cell>
          <cell r="O472" t="str">
            <v>No</v>
          </cell>
          <cell r="P472" t="str">
            <v>Local</v>
          </cell>
          <cell r="Q472" t="str">
            <v>First Year</v>
          </cell>
          <cell r="R472" t="str">
            <v>Regular</v>
          </cell>
          <cell r="S472" t="str">
            <v>Family Discount</v>
          </cell>
          <cell r="T472" t="str">
            <v>Conditional</v>
          </cell>
          <cell r="U472">
            <v>0</v>
          </cell>
          <cell r="V472" t="str">
            <v>Spring</v>
          </cell>
          <cell r="W472">
            <v>2017</v>
          </cell>
          <cell r="Z472" t="str">
            <v>5-Year Institute</v>
          </cell>
          <cell r="AA472">
            <v>2016</v>
          </cell>
          <cell r="AD472" t="str">
            <v>Science</v>
          </cell>
          <cell r="AE472" t="str">
            <v>Computer Institute</v>
          </cell>
          <cell r="AF472" t="str">
            <v>Hawler</v>
          </cell>
          <cell r="AH472">
            <v>76</v>
          </cell>
          <cell r="AK472">
            <v>76</v>
          </cell>
          <cell r="AM472">
            <v>76</v>
          </cell>
          <cell r="AP472">
            <v>1</v>
          </cell>
        </row>
        <row r="473">
          <cell r="D473" t="str">
            <v>A21700278</v>
          </cell>
          <cell r="E473" t="str">
            <v>Sarbast</v>
          </cell>
          <cell r="F473" t="str">
            <v>Fareed</v>
          </cell>
          <cell r="G473" t="str">
            <v>Mohammed</v>
          </cell>
          <cell r="H473" t="str">
            <v>Male</v>
          </cell>
          <cell r="I473">
            <v>1998</v>
          </cell>
          <cell r="J473" t="str">
            <v>Kurdish</v>
          </cell>
          <cell r="K473" t="str">
            <v>0750 413 0311</v>
          </cell>
          <cell r="N473" t="str">
            <v>No</v>
          </cell>
          <cell r="O473" t="str">
            <v>No</v>
          </cell>
          <cell r="P473" t="str">
            <v>Local</v>
          </cell>
          <cell r="Q473" t="str">
            <v>First Year</v>
          </cell>
          <cell r="R473" t="str">
            <v>Regular</v>
          </cell>
          <cell r="T473" t="str">
            <v>Conditional</v>
          </cell>
          <cell r="U473">
            <v>0</v>
          </cell>
          <cell r="V473" t="str">
            <v>Spring</v>
          </cell>
          <cell r="W473" t="str">
            <v>2017</v>
          </cell>
          <cell r="Z473" t="str">
            <v>High School</v>
          </cell>
          <cell r="AA473">
            <v>2016</v>
          </cell>
          <cell r="AD473" t="str">
            <v>Science</v>
          </cell>
          <cell r="AE473" t="str">
            <v>Kawa</v>
          </cell>
          <cell r="AF473" t="str">
            <v>Duhok</v>
          </cell>
          <cell r="AH473">
            <v>80</v>
          </cell>
          <cell r="AK473">
            <v>80</v>
          </cell>
          <cell r="AM473">
            <v>80</v>
          </cell>
          <cell r="AP473">
            <v>1</v>
          </cell>
        </row>
        <row r="474">
          <cell r="D474" t="str">
            <v>A21700279</v>
          </cell>
          <cell r="E474" t="str">
            <v>Sakvan</v>
          </cell>
          <cell r="F474" t="str">
            <v>Abdo</v>
          </cell>
          <cell r="G474" t="str">
            <v>Naser</v>
          </cell>
          <cell r="H474" t="str">
            <v>Male</v>
          </cell>
          <cell r="I474">
            <v>1998</v>
          </cell>
          <cell r="J474" t="str">
            <v>Kurdish</v>
          </cell>
          <cell r="K474" t="str">
            <v>0750 768 4338</v>
          </cell>
          <cell r="N474" t="str">
            <v>No</v>
          </cell>
          <cell r="O474" t="str">
            <v>No</v>
          </cell>
          <cell r="P474" t="str">
            <v>Local</v>
          </cell>
          <cell r="Q474" t="str">
            <v>First Year</v>
          </cell>
          <cell r="R474" t="str">
            <v>Regular</v>
          </cell>
          <cell r="S474" t="str">
            <v>Family Discount</v>
          </cell>
          <cell r="T474" t="str">
            <v>Conditional</v>
          </cell>
          <cell r="U474">
            <v>0</v>
          </cell>
          <cell r="V474" t="str">
            <v>Spring</v>
          </cell>
          <cell r="W474">
            <v>2017</v>
          </cell>
          <cell r="Z474" t="str">
            <v>High School</v>
          </cell>
          <cell r="AA474">
            <v>2016</v>
          </cell>
          <cell r="AD474" t="str">
            <v>Arts</v>
          </cell>
          <cell r="AE474" t="str">
            <v>Tabakhe</v>
          </cell>
          <cell r="AF474" t="str">
            <v>Duhok</v>
          </cell>
          <cell r="AK474">
            <v>0</v>
          </cell>
          <cell r="AM474">
            <v>0</v>
          </cell>
          <cell r="AP474">
            <v>1</v>
          </cell>
        </row>
        <row r="475">
          <cell r="D475" t="str">
            <v>A21700280</v>
          </cell>
          <cell r="E475" t="str">
            <v>Sermed</v>
          </cell>
          <cell r="F475" t="str">
            <v>Omran</v>
          </cell>
          <cell r="G475" t="str">
            <v>Barzani</v>
          </cell>
          <cell r="H475" t="str">
            <v>Male</v>
          </cell>
          <cell r="I475">
            <v>1997</v>
          </cell>
          <cell r="J475" t="str">
            <v>Kurdish</v>
          </cell>
          <cell r="K475" t="str">
            <v>0750 219 3939</v>
          </cell>
          <cell r="N475" t="str">
            <v>No</v>
          </cell>
          <cell r="O475" t="str">
            <v>No</v>
          </cell>
          <cell r="P475" t="str">
            <v>Local</v>
          </cell>
          <cell r="Q475" t="str">
            <v>First Year</v>
          </cell>
          <cell r="R475" t="str">
            <v>Regular</v>
          </cell>
          <cell r="T475" t="str">
            <v>Conditional</v>
          </cell>
          <cell r="U475">
            <v>0</v>
          </cell>
          <cell r="V475" t="str">
            <v>Spring</v>
          </cell>
          <cell r="W475" t="str">
            <v>2017</v>
          </cell>
          <cell r="Z475" t="str">
            <v>High School</v>
          </cell>
          <cell r="AA475">
            <v>2016</v>
          </cell>
          <cell r="AD475" t="str">
            <v>Science</v>
          </cell>
          <cell r="AE475" t="str">
            <v>Ishk</v>
          </cell>
          <cell r="AF475" t="str">
            <v>Duhok</v>
          </cell>
          <cell r="AK475">
            <v>0</v>
          </cell>
          <cell r="AM475">
            <v>0</v>
          </cell>
          <cell r="AP475">
            <v>6</v>
          </cell>
        </row>
        <row r="476">
          <cell r="D476" t="str">
            <v>A21700281</v>
          </cell>
          <cell r="E476" t="str">
            <v>Seerwan</v>
          </cell>
          <cell r="F476" t="str">
            <v>Ali</v>
          </cell>
          <cell r="G476" t="str">
            <v>Qasim</v>
          </cell>
          <cell r="H476" t="str">
            <v>Male</v>
          </cell>
          <cell r="I476">
            <v>1999</v>
          </cell>
          <cell r="J476" t="str">
            <v>Kurdish</v>
          </cell>
          <cell r="K476">
            <v>750</v>
          </cell>
          <cell r="N476" t="str">
            <v>No</v>
          </cell>
          <cell r="O476" t="str">
            <v>No</v>
          </cell>
          <cell r="P476" t="str">
            <v>Local</v>
          </cell>
          <cell r="Q476" t="str">
            <v>First Year</v>
          </cell>
          <cell r="R476" t="str">
            <v>Regular</v>
          </cell>
          <cell r="T476" t="str">
            <v>Conditional</v>
          </cell>
          <cell r="U476">
            <v>0</v>
          </cell>
          <cell r="V476" t="str">
            <v>Spring</v>
          </cell>
          <cell r="W476">
            <v>2017</v>
          </cell>
          <cell r="Z476" t="str">
            <v>High School</v>
          </cell>
          <cell r="AA476">
            <v>2016</v>
          </cell>
          <cell r="AD476" t="str">
            <v>Science</v>
          </cell>
          <cell r="AE476" t="str">
            <v>Bizhare</v>
          </cell>
          <cell r="AF476" t="str">
            <v>Duhok</v>
          </cell>
          <cell r="AK476">
            <v>0</v>
          </cell>
          <cell r="AM476">
            <v>0</v>
          </cell>
          <cell r="AP476">
            <v>2</v>
          </cell>
        </row>
        <row r="477">
          <cell r="D477" t="str">
            <v>A21700282</v>
          </cell>
          <cell r="E477" t="str">
            <v>Zeen</v>
          </cell>
          <cell r="F477" t="str">
            <v>Bashar</v>
          </cell>
          <cell r="G477" t="str">
            <v>Moneb</v>
          </cell>
          <cell r="H477" t="str">
            <v>Female</v>
          </cell>
          <cell r="I477">
            <v>1999</v>
          </cell>
          <cell r="J477" t="str">
            <v>Kurdish</v>
          </cell>
          <cell r="K477" t="str">
            <v>0750 741 1147</v>
          </cell>
          <cell r="L477" t="str">
            <v>0750 744 4449</v>
          </cell>
          <cell r="N477" t="str">
            <v>No</v>
          </cell>
          <cell r="O477" t="str">
            <v>No</v>
          </cell>
          <cell r="P477" t="str">
            <v>Local</v>
          </cell>
          <cell r="Q477" t="str">
            <v>First Year</v>
          </cell>
          <cell r="R477" t="str">
            <v>Regular</v>
          </cell>
          <cell r="T477" t="str">
            <v>Conditional</v>
          </cell>
          <cell r="U477">
            <v>0</v>
          </cell>
          <cell r="V477" t="str">
            <v>Spring</v>
          </cell>
          <cell r="W477" t="str">
            <v>2017</v>
          </cell>
          <cell r="Z477" t="str">
            <v>High School</v>
          </cell>
          <cell r="AA477">
            <v>2016</v>
          </cell>
          <cell r="AD477" t="str">
            <v>science</v>
          </cell>
          <cell r="AF477" t="str">
            <v>Duhok</v>
          </cell>
          <cell r="AH477">
            <v>79.400000000000006</v>
          </cell>
          <cell r="AK477">
            <v>79.400000000000006</v>
          </cell>
          <cell r="AM477">
            <v>79.400000000000006</v>
          </cell>
          <cell r="AP477">
            <v>4</v>
          </cell>
        </row>
        <row r="478">
          <cell r="D478" t="str">
            <v>A21700283</v>
          </cell>
          <cell r="E478" t="str">
            <v>Faris</v>
          </cell>
          <cell r="F478" t="str">
            <v>Khairi</v>
          </cell>
          <cell r="G478" t="str">
            <v>Yousif</v>
          </cell>
          <cell r="H478" t="str">
            <v>Male</v>
          </cell>
          <cell r="I478">
            <v>1998</v>
          </cell>
          <cell r="J478" t="str">
            <v>Kurdish</v>
          </cell>
          <cell r="K478" t="str">
            <v>0750 418 7106</v>
          </cell>
          <cell r="N478" t="str">
            <v>No</v>
          </cell>
          <cell r="O478" t="str">
            <v>No</v>
          </cell>
          <cell r="P478" t="str">
            <v>Local</v>
          </cell>
          <cell r="Q478" t="str">
            <v>First Year</v>
          </cell>
          <cell r="R478" t="str">
            <v>Regular</v>
          </cell>
          <cell r="T478" t="str">
            <v>Conditional</v>
          </cell>
          <cell r="U478">
            <v>0</v>
          </cell>
          <cell r="V478" t="str">
            <v>Spring</v>
          </cell>
          <cell r="W478">
            <v>2017</v>
          </cell>
          <cell r="Z478" t="str">
            <v>High School</v>
          </cell>
          <cell r="AA478">
            <v>2016</v>
          </cell>
          <cell r="AD478" t="str">
            <v>science</v>
          </cell>
          <cell r="AE478" t="str">
            <v>Dijla</v>
          </cell>
          <cell r="AF478" t="str">
            <v>Duhok</v>
          </cell>
          <cell r="AH478">
            <v>80</v>
          </cell>
          <cell r="AK478">
            <v>80</v>
          </cell>
          <cell r="AL478">
            <v>3</v>
          </cell>
          <cell r="AM478">
            <v>83</v>
          </cell>
        </row>
        <row r="479">
          <cell r="D479" t="str">
            <v>A21700284</v>
          </cell>
          <cell r="E479" t="str">
            <v>Mohammed</v>
          </cell>
          <cell r="F479" t="str">
            <v>Farhad</v>
          </cell>
          <cell r="G479" t="str">
            <v>Khorsheed</v>
          </cell>
          <cell r="H479" t="str">
            <v>Male</v>
          </cell>
          <cell r="I479">
            <v>1997</v>
          </cell>
          <cell r="J479" t="str">
            <v>Kurdish</v>
          </cell>
          <cell r="K479" t="str">
            <v>0750 432 7928</v>
          </cell>
          <cell r="N479" t="str">
            <v>No</v>
          </cell>
          <cell r="O479" t="str">
            <v>No</v>
          </cell>
          <cell r="P479" t="str">
            <v>Local</v>
          </cell>
          <cell r="Q479" t="str">
            <v>First Year</v>
          </cell>
          <cell r="R479" t="str">
            <v>Regular</v>
          </cell>
          <cell r="T479" t="str">
            <v>Conditional</v>
          </cell>
          <cell r="U479">
            <v>0</v>
          </cell>
          <cell r="V479" t="str">
            <v>Spring</v>
          </cell>
          <cell r="W479" t="str">
            <v>2017</v>
          </cell>
          <cell r="Z479" t="str">
            <v>High School</v>
          </cell>
          <cell r="AA479">
            <v>2016</v>
          </cell>
          <cell r="AK479">
            <v>0</v>
          </cell>
          <cell r="AM479">
            <v>0</v>
          </cell>
          <cell r="AP479">
            <v>2</v>
          </cell>
        </row>
        <row r="480">
          <cell r="D480" t="str">
            <v>A21700285</v>
          </cell>
          <cell r="E480" t="str">
            <v>Maryna</v>
          </cell>
          <cell r="F480" t="str">
            <v>Raed</v>
          </cell>
          <cell r="G480" t="str">
            <v>Azeez</v>
          </cell>
          <cell r="H480" t="str">
            <v>Female</v>
          </cell>
          <cell r="I480">
            <v>1998</v>
          </cell>
          <cell r="J480" t="str">
            <v>Kurdish</v>
          </cell>
          <cell r="K480" t="str">
            <v>0750 217 7181</v>
          </cell>
          <cell r="N480" t="str">
            <v>No</v>
          </cell>
          <cell r="O480" t="str">
            <v>No</v>
          </cell>
          <cell r="P480" t="str">
            <v>Local</v>
          </cell>
          <cell r="Q480" t="str">
            <v>First Year</v>
          </cell>
          <cell r="R480" t="str">
            <v>Regular</v>
          </cell>
          <cell r="T480" t="str">
            <v>Conditional</v>
          </cell>
          <cell r="U480">
            <v>0</v>
          </cell>
          <cell r="V480" t="str">
            <v>Spring</v>
          </cell>
          <cell r="W480">
            <v>2017</v>
          </cell>
          <cell r="Z480" t="str">
            <v>High School</v>
          </cell>
          <cell r="AA480">
            <v>2016</v>
          </cell>
          <cell r="AB480">
            <v>1</v>
          </cell>
          <cell r="AC480">
            <v>2</v>
          </cell>
          <cell r="AD480" t="str">
            <v>Science</v>
          </cell>
          <cell r="AE480" t="str">
            <v>Alqosh</v>
          </cell>
          <cell r="AF480" t="str">
            <v>Duhok</v>
          </cell>
          <cell r="AH480">
            <v>65</v>
          </cell>
          <cell r="AK480">
            <v>65</v>
          </cell>
          <cell r="AL480">
            <v>1</v>
          </cell>
          <cell r="AM480">
            <v>66</v>
          </cell>
          <cell r="AP480">
            <v>2</v>
          </cell>
        </row>
        <row r="481">
          <cell r="D481" t="str">
            <v>A21700286</v>
          </cell>
          <cell r="E481" t="str">
            <v>Hazheen</v>
          </cell>
          <cell r="F481" t="str">
            <v>Babaker</v>
          </cell>
          <cell r="G481" t="str">
            <v>Baderkhan</v>
          </cell>
          <cell r="H481" t="str">
            <v>Female</v>
          </cell>
          <cell r="I481">
            <v>1997</v>
          </cell>
          <cell r="J481" t="str">
            <v>Kurdish</v>
          </cell>
          <cell r="N481" t="str">
            <v>No</v>
          </cell>
          <cell r="O481" t="str">
            <v>No</v>
          </cell>
          <cell r="P481" t="str">
            <v>Local</v>
          </cell>
          <cell r="Q481" t="str">
            <v>First Year</v>
          </cell>
          <cell r="R481" t="str">
            <v>Regular</v>
          </cell>
          <cell r="T481" t="str">
            <v>Conditional</v>
          </cell>
          <cell r="U481">
            <v>0</v>
          </cell>
          <cell r="V481" t="str">
            <v>Spring</v>
          </cell>
          <cell r="W481" t="str">
            <v>2017</v>
          </cell>
          <cell r="Z481" t="str">
            <v>High School</v>
          </cell>
          <cell r="AD481" t="str">
            <v>Science</v>
          </cell>
          <cell r="AF481" t="str">
            <v>Duhok</v>
          </cell>
          <cell r="AK481">
            <v>0</v>
          </cell>
          <cell r="AM481">
            <v>0</v>
          </cell>
        </row>
        <row r="482">
          <cell r="D482" t="str">
            <v>A21700287</v>
          </cell>
          <cell r="E482" t="str">
            <v>Hussein</v>
          </cell>
          <cell r="F482" t="str">
            <v>Araz</v>
          </cell>
          <cell r="G482" t="str">
            <v>Kak Ahmed</v>
          </cell>
          <cell r="H482" t="str">
            <v>Male</v>
          </cell>
          <cell r="I482">
            <v>1997</v>
          </cell>
          <cell r="J482" t="str">
            <v>Kurdish</v>
          </cell>
          <cell r="K482" t="str">
            <v>0750 716 4499</v>
          </cell>
          <cell r="N482" t="str">
            <v>No</v>
          </cell>
          <cell r="O482" t="str">
            <v>No</v>
          </cell>
          <cell r="P482" t="str">
            <v>Local</v>
          </cell>
          <cell r="Q482" t="str">
            <v>First Year</v>
          </cell>
          <cell r="R482" t="str">
            <v>Regular</v>
          </cell>
          <cell r="T482" t="str">
            <v>Conditional</v>
          </cell>
          <cell r="U482">
            <v>0</v>
          </cell>
          <cell r="V482" t="str">
            <v>Spring</v>
          </cell>
          <cell r="W482">
            <v>2017</v>
          </cell>
          <cell r="Z482" t="str">
            <v>High School</v>
          </cell>
          <cell r="AA482">
            <v>2016</v>
          </cell>
          <cell r="AK482">
            <v>0</v>
          </cell>
          <cell r="AM482">
            <v>0</v>
          </cell>
          <cell r="AP482">
            <v>4</v>
          </cell>
        </row>
        <row r="483">
          <cell r="D483" t="str">
            <v>A21700288</v>
          </cell>
          <cell r="E483" t="str">
            <v>Aveen</v>
          </cell>
          <cell r="F483" t="str">
            <v>Kanaan</v>
          </cell>
          <cell r="G483" t="str">
            <v>Abdulghafoor</v>
          </cell>
          <cell r="H483" t="str">
            <v>Female</v>
          </cell>
          <cell r="I483">
            <v>1997</v>
          </cell>
          <cell r="J483" t="str">
            <v>Kurdish</v>
          </cell>
          <cell r="N483" t="str">
            <v>No</v>
          </cell>
          <cell r="O483" t="str">
            <v>No</v>
          </cell>
          <cell r="P483" t="str">
            <v>Local</v>
          </cell>
          <cell r="Q483" t="str">
            <v>First Year</v>
          </cell>
          <cell r="R483" t="str">
            <v>Regular</v>
          </cell>
          <cell r="T483" t="str">
            <v>Conditional</v>
          </cell>
          <cell r="U483">
            <v>0</v>
          </cell>
          <cell r="V483" t="str">
            <v>Spring</v>
          </cell>
          <cell r="W483" t="str">
            <v>2017</v>
          </cell>
          <cell r="Z483" t="str">
            <v>High School</v>
          </cell>
          <cell r="AD483" t="str">
            <v>Science</v>
          </cell>
          <cell r="AF483" t="str">
            <v>Duhok</v>
          </cell>
          <cell r="AK483">
            <v>0</v>
          </cell>
          <cell r="AM483">
            <v>0</v>
          </cell>
          <cell r="AP483">
            <v>2</v>
          </cell>
        </row>
        <row r="484">
          <cell r="D484" t="str">
            <v>A21700289</v>
          </cell>
          <cell r="E484" t="str">
            <v>Rawind</v>
          </cell>
          <cell r="F484" t="str">
            <v>Abduljabar</v>
          </cell>
          <cell r="G484" t="str">
            <v>Amin</v>
          </cell>
          <cell r="H484" t="str">
            <v>Male</v>
          </cell>
          <cell r="I484">
            <v>1995</v>
          </cell>
          <cell r="J484" t="str">
            <v>Kurdish</v>
          </cell>
          <cell r="K484" t="str">
            <v>0750 823 1995</v>
          </cell>
          <cell r="N484" t="str">
            <v>No</v>
          </cell>
          <cell r="O484" t="str">
            <v>No</v>
          </cell>
          <cell r="P484" t="str">
            <v>Local</v>
          </cell>
          <cell r="Q484" t="str">
            <v>First Year</v>
          </cell>
          <cell r="R484" t="str">
            <v>Regular</v>
          </cell>
          <cell r="T484" t="str">
            <v>Conditional</v>
          </cell>
          <cell r="U484">
            <v>0</v>
          </cell>
          <cell r="V484" t="str">
            <v>Spring</v>
          </cell>
          <cell r="W484">
            <v>2017</v>
          </cell>
          <cell r="Z484" t="str">
            <v>High School</v>
          </cell>
          <cell r="AD484" t="str">
            <v>Arts</v>
          </cell>
          <cell r="AF484" t="str">
            <v>Zakho</v>
          </cell>
          <cell r="AK484">
            <v>0</v>
          </cell>
          <cell r="AM484">
            <v>0</v>
          </cell>
          <cell r="AP484">
            <v>1</v>
          </cell>
        </row>
        <row r="485">
          <cell r="D485" t="str">
            <v>A21700290</v>
          </cell>
          <cell r="E485" t="str">
            <v>Zeravan</v>
          </cell>
          <cell r="F485" t="str">
            <v>Adnan</v>
          </cell>
          <cell r="G485" t="str">
            <v>Housin</v>
          </cell>
          <cell r="H485" t="str">
            <v>Male</v>
          </cell>
          <cell r="I485">
            <v>1992</v>
          </cell>
          <cell r="J485" t="str">
            <v>Kurdish</v>
          </cell>
          <cell r="K485" t="str">
            <v>0750 450 8978</v>
          </cell>
          <cell r="N485" t="str">
            <v>No</v>
          </cell>
          <cell r="O485" t="str">
            <v>No</v>
          </cell>
          <cell r="P485" t="str">
            <v>Local</v>
          </cell>
          <cell r="Q485" t="str">
            <v>First Year</v>
          </cell>
          <cell r="R485" t="str">
            <v>Regular</v>
          </cell>
          <cell r="T485" t="str">
            <v>Conditional</v>
          </cell>
          <cell r="U485">
            <v>0</v>
          </cell>
          <cell r="V485" t="str">
            <v>Spring</v>
          </cell>
          <cell r="W485" t="str">
            <v>2017</v>
          </cell>
          <cell r="Z485" t="str">
            <v>High School</v>
          </cell>
          <cell r="AD485" t="str">
            <v>Arts</v>
          </cell>
          <cell r="AF485" t="str">
            <v>Zakho</v>
          </cell>
          <cell r="AK485">
            <v>0</v>
          </cell>
          <cell r="AM485">
            <v>0</v>
          </cell>
          <cell r="AP485">
            <v>1</v>
          </cell>
        </row>
        <row r="486">
          <cell r="D486" t="str">
            <v>A21700291</v>
          </cell>
          <cell r="E486" t="str">
            <v>Karzan</v>
          </cell>
          <cell r="F486" t="str">
            <v>Zuher</v>
          </cell>
          <cell r="G486" t="str">
            <v>Ahmed</v>
          </cell>
          <cell r="H486" t="str">
            <v>Male</v>
          </cell>
          <cell r="I486">
            <v>1998</v>
          </cell>
          <cell r="J486" t="str">
            <v>Kurdish</v>
          </cell>
          <cell r="K486" t="str">
            <v>0750 769 6192</v>
          </cell>
          <cell r="N486" t="str">
            <v>No</v>
          </cell>
          <cell r="O486" t="str">
            <v>No</v>
          </cell>
          <cell r="P486" t="str">
            <v>Local</v>
          </cell>
          <cell r="Q486" t="str">
            <v>First Year</v>
          </cell>
          <cell r="R486" t="str">
            <v>Regular</v>
          </cell>
          <cell r="T486" t="str">
            <v>Conditional</v>
          </cell>
          <cell r="U486">
            <v>0</v>
          </cell>
          <cell r="V486" t="str">
            <v>Spring</v>
          </cell>
          <cell r="W486">
            <v>2017</v>
          </cell>
          <cell r="Z486" t="str">
            <v>High School</v>
          </cell>
          <cell r="AK486">
            <v>0</v>
          </cell>
          <cell r="AM486">
            <v>0</v>
          </cell>
        </row>
        <row r="487">
          <cell r="D487" t="str">
            <v>A21700292</v>
          </cell>
          <cell r="E487" t="str">
            <v>Sozan</v>
          </cell>
          <cell r="F487" t="str">
            <v>Sakvan</v>
          </cell>
          <cell r="G487" t="str">
            <v>Osman</v>
          </cell>
          <cell r="H487" t="str">
            <v>Female</v>
          </cell>
          <cell r="I487">
            <v>1997</v>
          </cell>
          <cell r="J487" t="str">
            <v>Kurdish</v>
          </cell>
          <cell r="K487" t="str">
            <v>0750 238 2902</v>
          </cell>
          <cell r="N487" t="str">
            <v>No</v>
          </cell>
          <cell r="O487" t="str">
            <v>No</v>
          </cell>
          <cell r="P487" t="str">
            <v>Local</v>
          </cell>
          <cell r="Q487" t="str">
            <v>First Year</v>
          </cell>
          <cell r="R487" t="str">
            <v>Regular</v>
          </cell>
          <cell r="T487" t="str">
            <v>Conditional</v>
          </cell>
          <cell r="U487">
            <v>0</v>
          </cell>
          <cell r="V487" t="str">
            <v>Spring</v>
          </cell>
          <cell r="W487" t="str">
            <v>2017</v>
          </cell>
          <cell r="Z487" t="str">
            <v>High School</v>
          </cell>
          <cell r="AA487">
            <v>2016</v>
          </cell>
          <cell r="AK487">
            <v>0</v>
          </cell>
          <cell r="AM487">
            <v>0</v>
          </cell>
          <cell r="AP487">
            <v>3</v>
          </cell>
        </row>
        <row r="488">
          <cell r="D488" t="str">
            <v>A21700293</v>
          </cell>
          <cell r="E488" t="str">
            <v>Ahmed</v>
          </cell>
          <cell r="F488" t="str">
            <v>Fakhri</v>
          </cell>
          <cell r="G488" t="str">
            <v>Mustafa</v>
          </cell>
          <cell r="H488" t="str">
            <v>Male</v>
          </cell>
          <cell r="I488">
            <v>1997</v>
          </cell>
          <cell r="J488" t="str">
            <v>Kurdish</v>
          </cell>
          <cell r="K488" t="str">
            <v>0750 408 8588</v>
          </cell>
          <cell r="N488" t="str">
            <v>No</v>
          </cell>
          <cell r="O488" t="str">
            <v>No</v>
          </cell>
          <cell r="P488" t="str">
            <v>Local</v>
          </cell>
          <cell r="Q488" t="str">
            <v>First Year</v>
          </cell>
          <cell r="R488" t="str">
            <v>Regular</v>
          </cell>
          <cell r="T488" t="str">
            <v>Conditional</v>
          </cell>
          <cell r="U488">
            <v>0</v>
          </cell>
          <cell r="V488" t="str">
            <v>Spring</v>
          </cell>
          <cell r="W488">
            <v>2017</v>
          </cell>
          <cell r="Z488" t="str">
            <v>High School</v>
          </cell>
          <cell r="AA488">
            <v>2016</v>
          </cell>
          <cell r="AD488" t="str">
            <v>Science</v>
          </cell>
          <cell r="AE488" t="str">
            <v>Kurd</v>
          </cell>
          <cell r="AF488" t="str">
            <v>Duhok</v>
          </cell>
          <cell r="AH488">
            <v>62</v>
          </cell>
          <cell r="AK488">
            <v>62</v>
          </cell>
          <cell r="AM488">
            <v>62</v>
          </cell>
          <cell r="AP488">
            <v>5</v>
          </cell>
        </row>
        <row r="489">
          <cell r="D489" t="str">
            <v>A21700294</v>
          </cell>
          <cell r="E489" t="str">
            <v>Mohammed</v>
          </cell>
          <cell r="F489" t="str">
            <v>Mashhood</v>
          </cell>
          <cell r="G489" t="str">
            <v>Amin</v>
          </cell>
          <cell r="H489" t="str">
            <v>Male</v>
          </cell>
          <cell r="I489">
            <v>1996</v>
          </cell>
          <cell r="J489" t="str">
            <v>Kurdish</v>
          </cell>
          <cell r="K489" t="str">
            <v>0750 139 4444</v>
          </cell>
          <cell r="N489" t="str">
            <v>No</v>
          </cell>
          <cell r="O489" t="str">
            <v>No</v>
          </cell>
          <cell r="P489" t="str">
            <v>Local</v>
          </cell>
          <cell r="Q489" t="str">
            <v>First Year</v>
          </cell>
          <cell r="R489" t="str">
            <v>Regular</v>
          </cell>
          <cell r="T489" t="str">
            <v>Conditional</v>
          </cell>
          <cell r="U489">
            <v>0</v>
          </cell>
          <cell r="V489" t="str">
            <v>Spring</v>
          </cell>
          <cell r="W489" t="str">
            <v>2017</v>
          </cell>
          <cell r="Z489" t="str">
            <v>High School</v>
          </cell>
          <cell r="AK489">
            <v>0</v>
          </cell>
          <cell r="AM489">
            <v>0</v>
          </cell>
          <cell r="AP489">
            <v>4</v>
          </cell>
        </row>
        <row r="490">
          <cell r="D490" t="str">
            <v>A21700295</v>
          </cell>
          <cell r="E490" t="str">
            <v>Hiba</v>
          </cell>
          <cell r="F490" t="str">
            <v>Abdulhakim</v>
          </cell>
          <cell r="G490" t="str">
            <v>Madhi</v>
          </cell>
          <cell r="H490" t="str">
            <v>Female</v>
          </cell>
          <cell r="I490">
            <v>1996</v>
          </cell>
          <cell r="J490" t="str">
            <v>Kurdish</v>
          </cell>
          <cell r="K490" t="str">
            <v>0750 778 8888</v>
          </cell>
          <cell r="N490" t="str">
            <v>No</v>
          </cell>
          <cell r="O490" t="str">
            <v>No</v>
          </cell>
          <cell r="P490" t="str">
            <v>Local</v>
          </cell>
          <cell r="Q490" t="str">
            <v>First Year</v>
          </cell>
          <cell r="R490" t="str">
            <v>Regular</v>
          </cell>
          <cell r="T490" t="str">
            <v>Conditional</v>
          </cell>
          <cell r="U490">
            <v>0</v>
          </cell>
          <cell r="V490" t="str">
            <v>Spring</v>
          </cell>
          <cell r="W490">
            <v>2017</v>
          </cell>
          <cell r="Z490" t="str">
            <v>High School</v>
          </cell>
          <cell r="AK490">
            <v>0</v>
          </cell>
          <cell r="AM490">
            <v>0</v>
          </cell>
          <cell r="AP490">
            <v>3</v>
          </cell>
        </row>
        <row r="491">
          <cell r="D491" t="str">
            <v>A21700296</v>
          </cell>
          <cell r="E491" t="str">
            <v>Ali</v>
          </cell>
          <cell r="F491" t="str">
            <v>Sarbast</v>
          </cell>
          <cell r="G491" t="str">
            <v>Ali</v>
          </cell>
          <cell r="N491" t="str">
            <v>No</v>
          </cell>
          <cell r="O491" t="str">
            <v>No</v>
          </cell>
          <cell r="P491" t="str">
            <v>Local</v>
          </cell>
          <cell r="Q491" t="str">
            <v>First Year</v>
          </cell>
          <cell r="R491" t="str">
            <v>Regular</v>
          </cell>
          <cell r="T491" t="str">
            <v>Conditional</v>
          </cell>
          <cell r="U491">
            <v>0</v>
          </cell>
          <cell r="V491" t="str">
            <v>Spring</v>
          </cell>
          <cell r="W491" t="str">
            <v>2017</v>
          </cell>
          <cell r="Z491" t="str">
            <v>High School</v>
          </cell>
          <cell r="AK491">
            <v>0</v>
          </cell>
          <cell r="AM491">
            <v>0</v>
          </cell>
        </row>
        <row r="492">
          <cell r="D492" t="str">
            <v>A21700297</v>
          </cell>
          <cell r="E492" t="str">
            <v>Shadi</v>
          </cell>
          <cell r="F492" t="str">
            <v>Ismeil</v>
          </cell>
          <cell r="G492" t="str">
            <v>Ahmed</v>
          </cell>
          <cell r="K492" t="str">
            <v>0750 7190094</v>
          </cell>
          <cell r="N492" t="str">
            <v>No</v>
          </cell>
          <cell r="O492" t="str">
            <v>No</v>
          </cell>
          <cell r="P492" t="str">
            <v>Local</v>
          </cell>
          <cell r="Q492" t="str">
            <v>First Year</v>
          </cell>
          <cell r="R492" t="str">
            <v>Regular</v>
          </cell>
          <cell r="T492" t="str">
            <v>Conditional</v>
          </cell>
          <cell r="U492">
            <v>0</v>
          </cell>
          <cell r="V492" t="str">
            <v>Spring</v>
          </cell>
          <cell r="W492">
            <v>2017</v>
          </cell>
          <cell r="Z492" t="str">
            <v>High School</v>
          </cell>
          <cell r="AK492">
            <v>0</v>
          </cell>
          <cell r="AM492">
            <v>0</v>
          </cell>
          <cell r="AP492">
            <v>1</v>
          </cell>
        </row>
        <row r="493">
          <cell r="D493" t="str">
            <v>A21700298</v>
          </cell>
          <cell r="E493" t="str">
            <v>Ramin</v>
          </cell>
          <cell r="F493" t="str">
            <v>Nazhat</v>
          </cell>
          <cell r="G493" t="str">
            <v>Hali</v>
          </cell>
          <cell r="H493" t="str">
            <v>Male</v>
          </cell>
          <cell r="K493" t="str">
            <v>0750 483 0003</v>
          </cell>
          <cell r="N493" t="str">
            <v>No</v>
          </cell>
          <cell r="O493" t="str">
            <v>No</v>
          </cell>
          <cell r="P493" t="str">
            <v>Local</v>
          </cell>
          <cell r="Q493" t="str">
            <v>First Year</v>
          </cell>
          <cell r="R493" t="str">
            <v>Regular</v>
          </cell>
          <cell r="T493" t="str">
            <v>Conditional</v>
          </cell>
          <cell r="U493">
            <v>0</v>
          </cell>
          <cell r="V493" t="str">
            <v>Spring</v>
          </cell>
          <cell r="W493" t="str">
            <v>2017</v>
          </cell>
          <cell r="Z493" t="str">
            <v>High School</v>
          </cell>
          <cell r="AK493">
            <v>0</v>
          </cell>
          <cell r="AM493">
            <v>0</v>
          </cell>
          <cell r="AP493">
            <v>5</v>
          </cell>
        </row>
        <row r="494">
          <cell r="D494" t="str">
            <v>A21700299</v>
          </cell>
          <cell r="E494" t="str">
            <v>Ahmed</v>
          </cell>
          <cell r="F494" t="str">
            <v>Akram</v>
          </cell>
          <cell r="G494" t="str">
            <v>Shamisadeen</v>
          </cell>
          <cell r="H494" t="str">
            <v>Male</v>
          </cell>
          <cell r="I494">
            <v>1997</v>
          </cell>
          <cell r="J494" t="str">
            <v>Kurdish</v>
          </cell>
          <cell r="N494" t="str">
            <v>No</v>
          </cell>
          <cell r="O494" t="str">
            <v>No</v>
          </cell>
          <cell r="P494" t="str">
            <v>Local</v>
          </cell>
          <cell r="Q494" t="str">
            <v>First Year</v>
          </cell>
          <cell r="R494" t="str">
            <v>Regular</v>
          </cell>
          <cell r="T494" t="str">
            <v>Conditional</v>
          </cell>
          <cell r="U494">
            <v>0</v>
          </cell>
          <cell r="V494" t="str">
            <v>Spring</v>
          </cell>
          <cell r="W494">
            <v>2017</v>
          </cell>
          <cell r="Z494" t="str">
            <v>High School</v>
          </cell>
          <cell r="AK494">
            <v>0</v>
          </cell>
          <cell r="AM494">
            <v>0</v>
          </cell>
        </row>
        <row r="495">
          <cell r="D495" t="str">
            <v>A21700300</v>
          </cell>
          <cell r="E495" t="str">
            <v>Vina</v>
          </cell>
          <cell r="F495" t="str">
            <v>Nawzad</v>
          </cell>
          <cell r="G495" t="str">
            <v>Azad</v>
          </cell>
          <cell r="K495" t="str">
            <v>0750 714 7213</v>
          </cell>
          <cell r="N495" t="str">
            <v>No</v>
          </cell>
          <cell r="O495" t="str">
            <v>No</v>
          </cell>
          <cell r="P495" t="str">
            <v>Local</v>
          </cell>
          <cell r="Q495" t="str">
            <v>First Year</v>
          </cell>
          <cell r="R495" t="str">
            <v>Regular</v>
          </cell>
          <cell r="T495" t="str">
            <v>Conditional</v>
          </cell>
          <cell r="U495">
            <v>0</v>
          </cell>
          <cell r="V495" t="str">
            <v>Spring</v>
          </cell>
          <cell r="W495" t="str">
            <v>2017</v>
          </cell>
          <cell r="Z495" t="str">
            <v>High School</v>
          </cell>
          <cell r="AK495">
            <v>0</v>
          </cell>
          <cell r="AM495">
            <v>0</v>
          </cell>
          <cell r="AP495">
            <v>4</v>
          </cell>
        </row>
        <row r="496">
          <cell r="D496" t="str">
            <v>A21700301</v>
          </cell>
          <cell r="E496" t="str">
            <v>Isho</v>
          </cell>
          <cell r="F496" t="str">
            <v>James</v>
          </cell>
          <cell r="G496" t="str">
            <v>Kiwarkis</v>
          </cell>
          <cell r="H496" t="str">
            <v>Male</v>
          </cell>
          <cell r="I496">
            <v>1997</v>
          </cell>
          <cell r="J496" t="str">
            <v>Kurdish</v>
          </cell>
          <cell r="N496" t="str">
            <v>No</v>
          </cell>
          <cell r="O496" t="str">
            <v>No</v>
          </cell>
          <cell r="P496" t="str">
            <v>Local</v>
          </cell>
          <cell r="Q496" t="str">
            <v>First Year</v>
          </cell>
          <cell r="R496" t="str">
            <v>Regular</v>
          </cell>
          <cell r="T496" t="str">
            <v>Conditional</v>
          </cell>
          <cell r="U496">
            <v>0</v>
          </cell>
          <cell r="V496" t="str">
            <v>Spring</v>
          </cell>
          <cell r="W496">
            <v>2017</v>
          </cell>
          <cell r="Z496" t="str">
            <v>High School</v>
          </cell>
          <cell r="AK496">
            <v>0</v>
          </cell>
          <cell r="AM496">
            <v>0</v>
          </cell>
          <cell r="AP496">
            <v>5</v>
          </cell>
        </row>
        <row r="497">
          <cell r="D497" t="str">
            <v>A21700302</v>
          </cell>
          <cell r="E497" t="str">
            <v>Mohammed</v>
          </cell>
          <cell r="F497" t="str">
            <v>Sabri</v>
          </cell>
          <cell r="G497" t="str">
            <v>Ahmed</v>
          </cell>
          <cell r="H497" t="str">
            <v>Male</v>
          </cell>
          <cell r="K497" t="str">
            <v>0750 731 0406</v>
          </cell>
          <cell r="N497" t="str">
            <v>No</v>
          </cell>
          <cell r="O497" t="str">
            <v>No</v>
          </cell>
          <cell r="P497" t="str">
            <v>Local</v>
          </cell>
          <cell r="Q497" t="str">
            <v>First Year</v>
          </cell>
          <cell r="R497" t="str">
            <v>Regular</v>
          </cell>
          <cell r="T497" t="str">
            <v>Conditional</v>
          </cell>
          <cell r="U497">
            <v>0</v>
          </cell>
          <cell r="V497" t="str">
            <v>Spring</v>
          </cell>
          <cell r="W497" t="str">
            <v>2017</v>
          </cell>
          <cell r="Z497" t="str">
            <v>High School</v>
          </cell>
          <cell r="AK497">
            <v>0</v>
          </cell>
          <cell r="AM497">
            <v>0</v>
          </cell>
          <cell r="AP497">
            <v>2</v>
          </cell>
        </row>
        <row r="498">
          <cell r="D498" t="str">
            <v>A21700303</v>
          </cell>
          <cell r="E498" t="str">
            <v>Akad</v>
          </cell>
          <cell r="F498" t="str">
            <v>Akram</v>
          </cell>
          <cell r="G498" t="str">
            <v>Mikhaeel</v>
          </cell>
          <cell r="H498" t="str">
            <v>Male</v>
          </cell>
          <cell r="I498">
            <v>1994</v>
          </cell>
          <cell r="J498" t="str">
            <v>Kurdish</v>
          </cell>
          <cell r="K498" t="str">
            <v>0750 420 7494</v>
          </cell>
          <cell r="N498" t="str">
            <v>No</v>
          </cell>
          <cell r="O498" t="str">
            <v>No</v>
          </cell>
          <cell r="P498" t="str">
            <v>Local</v>
          </cell>
          <cell r="Q498" t="str">
            <v>First Year</v>
          </cell>
          <cell r="R498" t="str">
            <v>Regular</v>
          </cell>
          <cell r="T498" t="str">
            <v>Conditional</v>
          </cell>
          <cell r="U498">
            <v>0</v>
          </cell>
          <cell r="V498" t="str">
            <v>Spring</v>
          </cell>
          <cell r="W498">
            <v>2017</v>
          </cell>
          <cell r="Z498" t="str">
            <v>High School</v>
          </cell>
          <cell r="AK498">
            <v>0</v>
          </cell>
          <cell r="AM498">
            <v>0</v>
          </cell>
          <cell r="AP498">
            <v>4</v>
          </cell>
        </row>
        <row r="499">
          <cell r="D499" t="str">
            <v>A21700304</v>
          </cell>
          <cell r="E499" t="str">
            <v>Savio</v>
          </cell>
          <cell r="F499" t="str">
            <v>Zaya</v>
          </cell>
          <cell r="G499" t="str">
            <v>George</v>
          </cell>
          <cell r="H499" t="str">
            <v>Male</v>
          </cell>
          <cell r="I499">
            <v>1996</v>
          </cell>
          <cell r="J499" t="str">
            <v>Kurdish</v>
          </cell>
          <cell r="N499" t="str">
            <v>No</v>
          </cell>
          <cell r="O499" t="str">
            <v>No</v>
          </cell>
          <cell r="P499" t="str">
            <v>Local</v>
          </cell>
          <cell r="Q499" t="str">
            <v>First Year</v>
          </cell>
          <cell r="R499" t="str">
            <v>Regular</v>
          </cell>
          <cell r="T499" t="str">
            <v>Conditional</v>
          </cell>
          <cell r="U499">
            <v>0</v>
          </cell>
          <cell r="V499" t="str">
            <v>Spring</v>
          </cell>
          <cell r="W499" t="str">
            <v>2017</v>
          </cell>
          <cell r="Z499" t="str">
            <v>High School</v>
          </cell>
          <cell r="AK499">
            <v>0</v>
          </cell>
          <cell r="AM499">
            <v>0</v>
          </cell>
          <cell r="AP499">
            <v>1</v>
          </cell>
        </row>
        <row r="500">
          <cell r="D500" t="str">
            <v>A21700305</v>
          </cell>
          <cell r="E500" t="str">
            <v>Saman</v>
          </cell>
          <cell r="F500" t="str">
            <v>MohammedSalih</v>
          </cell>
          <cell r="G500" t="str">
            <v>Hussein</v>
          </cell>
          <cell r="H500" t="str">
            <v>Male</v>
          </cell>
          <cell r="I500">
            <v>1998</v>
          </cell>
          <cell r="J500" t="str">
            <v>Kurdish</v>
          </cell>
          <cell r="K500" t="str">
            <v>0750 356 8585</v>
          </cell>
          <cell r="N500" t="str">
            <v>No</v>
          </cell>
          <cell r="O500" t="str">
            <v>No</v>
          </cell>
          <cell r="P500" t="str">
            <v>Local</v>
          </cell>
          <cell r="Q500" t="str">
            <v>First Year</v>
          </cell>
          <cell r="R500" t="str">
            <v>Regular</v>
          </cell>
          <cell r="T500" t="str">
            <v>Conditional</v>
          </cell>
          <cell r="U500">
            <v>0</v>
          </cell>
          <cell r="V500" t="str">
            <v>Spring</v>
          </cell>
          <cell r="W500">
            <v>2017</v>
          </cell>
          <cell r="Z500" t="str">
            <v>High School</v>
          </cell>
          <cell r="AK500">
            <v>0</v>
          </cell>
          <cell r="AM500">
            <v>0</v>
          </cell>
          <cell r="AP500">
            <v>1</v>
          </cell>
        </row>
        <row r="501">
          <cell r="D501" t="str">
            <v>A21700306</v>
          </cell>
          <cell r="E501" t="str">
            <v>Mirdin</v>
          </cell>
          <cell r="F501" t="str">
            <v>Abdulmunaf</v>
          </cell>
          <cell r="G501" t="str">
            <v>Mohammed</v>
          </cell>
          <cell r="H501" t="str">
            <v>Male</v>
          </cell>
          <cell r="I501">
            <v>1995</v>
          </cell>
          <cell r="J501" t="str">
            <v>Kurdish</v>
          </cell>
          <cell r="K501" t="str">
            <v>0750 326 0033</v>
          </cell>
          <cell r="N501" t="str">
            <v>No</v>
          </cell>
          <cell r="O501" t="str">
            <v>No</v>
          </cell>
          <cell r="P501" t="str">
            <v>Local</v>
          </cell>
          <cell r="Q501" t="str">
            <v>First Year</v>
          </cell>
          <cell r="R501" t="str">
            <v>Regular</v>
          </cell>
          <cell r="T501" t="str">
            <v>Conditional</v>
          </cell>
          <cell r="U501">
            <v>0</v>
          </cell>
          <cell r="V501" t="str">
            <v>Spring</v>
          </cell>
          <cell r="W501" t="str">
            <v>2017</v>
          </cell>
          <cell r="Z501" t="str">
            <v>High School</v>
          </cell>
          <cell r="AK501">
            <v>0</v>
          </cell>
          <cell r="AM501">
            <v>0</v>
          </cell>
          <cell r="AP501">
            <v>1</v>
          </cell>
        </row>
        <row r="502">
          <cell r="D502" t="str">
            <v>A21700307</v>
          </cell>
          <cell r="E502" t="str">
            <v>Halat</v>
          </cell>
          <cell r="F502" t="str">
            <v>Abdulmunaf</v>
          </cell>
          <cell r="G502" t="str">
            <v>Mohammed</v>
          </cell>
          <cell r="H502" t="str">
            <v>Male</v>
          </cell>
          <cell r="I502">
            <v>1997</v>
          </cell>
          <cell r="J502" t="str">
            <v>Kurdish</v>
          </cell>
          <cell r="K502" t="str">
            <v>0750 478 1278</v>
          </cell>
          <cell r="N502" t="str">
            <v>No</v>
          </cell>
          <cell r="O502" t="str">
            <v>No</v>
          </cell>
          <cell r="P502" t="str">
            <v>Local</v>
          </cell>
          <cell r="Q502" t="str">
            <v>First Year</v>
          </cell>
          <cell r="R502" t="str">
            <v>Regular</v>
          </cell>
          <cell r="T502" t="str">
            <v>Conditional</v>
          </cell>
          <cell r="U502">
            <v>0</v>
          </cell>
          <cell r="V502" t="str">
            <v>Spring</v>
          </cell>
          <cell r="W502">
            <v>2017</v>
          </cell>
          <cell r="Z502" t="str">
            <v>High School</v>
          </cell>
          <cell r="AA502">
            <v>2016</v>
          </cell>
          <cell r="AK502">
            <v>0</v>
          </cell>
          <cell r="AM502">
            <v>0</v>
          </cell>
          <cell r="AP502">
            <v>1</v>
          </cell>
        </row>
        <row r="503">
          <cell r="D503" t="str">
            <v>A21700308</v>
          </cell>
          <cell r="E503" t="str">
            <v>Nyaz</v>
          </cell>
          <cell r="F503" t="str">
            <v>Nadhim</v>
          </cell>
          <cell r="G503" t="str">
            <v>Hameed</v>
          </cell>
          <cell r="H503" t="str">
            <v>Male</v>
          </cell>
          <cell r="I503">
            <v>1998</v>
          </cell>
          <cell r="J503" t="str">
            <v>Kurdish</v>
          </cell>
          <cell r="K503" t="str">
            <v>0750 753 8170</v>
          </cell>
          <cell r="N503" t="str">
            <v>No</v>
          </cell>
          <cell r="O503" t="str">
            <v>No</v>
          </cell>
          <cell r="P503" t="str">
            <v>Local</v>
          </cell>
          <cell r="Q503" t="str">
            <v>First Year</v>
          </cell>
          <cell r="R503" t="str">
            <v>Regular</v>
          </cell>
          <cell r="T503" t="str">
            <v>Conditional</v>
          </cell>
          <cell r="U503">
            <v>0</v>
          </cell>
          <cell r="V503" t="str">
            <v>Spring</v>
          </cell>
          <cell r="W503">
            <v>2017</v>
          </cell>
          <cell r="Z503" t="str">
            <v>High School</v>
          </cell>
          <cell r="AK503">
            <v>0</v>
          </cell>
          <cell r="AM503">
            <v>0</v>
          </cell>
        </row>
        <row r="504">
          <cell r="D504" t="str">
            <v>A21700309</v>
          </cell>
          <cell r="E504" t="str">
            <v>Murad</v>
          </cell>
          <cell r="F504" t="str">
            <v>Ramadhan</v>
          </cell>
          <cell r="G504" t="str">
            <v>Shukri</v>
          </cell>
          <cell r="H504" t="str">
            <v>Male</v>
          </cell>
          <cell r="I504">
            <v>1999</v>
          </cell>
          <cell r="J504" t="str">
            <v>Kurdish</v>
          </cell>
          <cell r="K504" t="str">
            <v>0750 777 7869</v>
          </cell>
          <cell r="N504" t="str">
            <v>No</v>
          </cell>
          <cell r="O504" t="str">
            <v>No</v>
          </cell>
          <cell r="P504" t="str">
            <v>Local</v>
          </cell>
          <cell r="Q504" t="str">
            <v>First Year</v>
          </cell>
          <cell r="R504" t="str">
            <v>Regular</v>
          </cell>
          <cell r="T504" t="str">
            <v>Conditional</v>
          </cell>
          <cell r="U504">
            <v>0</v>
          </cell>
          <cell r="V504" t="str">
            <v>Spring</v>
          </cell>
          <cell r="W504">
            <v>2017</v>
          </cell>
          <cell r="Z504" t="str">
            <v>High School</v>
          </cell>
          <cell r="AK504">
            <v>0</v>
          </cell>
          <cell r="AM504">
            <v>0</v>
          </cell>
          <cell r="AP504">
            <v>2</v>
          </cell>
        </row>
        <row r="505">
          <cell r="D505" t="str">
            <v>A21700310</v>
          </cell>
          <cell r="E505" t="str">
            <v>Khider</v>
          </cell>
          <cell r="F505" t="str">
            <v>Basam</v>
          </cell>
          <cell r="G505" t="str">
            <v>Khider</v>
          </cell>
          <cell r="H505" t="str">
            <v>Male</v>
          </cell>
          <cell r="J505" t="str">
            <v>Kurdish</v>
          </cell>
          <cell r="N505" t="str">
            <v>No</v>
          </cell>
          <cell r="O505" t="str">
            <v>No</v>
          </cell>
          <cell r="P505" t="str">
            <v>Local</v>
          </cell>
          <cell r="Q505" t="str">
            <v>First Year</v>
          </cell>
          <cell r="R505" t="str">
            <v>Regular</v>
          </cell>
          <cell r="T505" t="str">
            <v>Conditional</v>
          </cell>
          <cell r="U505">
            <v>0</v>
          </cell>
          <cell r="V505" t="str">
            <v>Spring</v>
          </cell>
          <cell r="W505" t="str">
            <v>2017</v>
          </cell>
          <cell r="Z505" t="str">
            <v>High School</v>
          </cell>
          <cell r="AK505">
            <v>0</v>
          </cell>
          <cell r="AM505">
            <v>0</v>
          </cell>
        </row>
        <row r="506">
          <cell r="D506" t="str">
            <v>A21700311</v>
          </cell>
          <cell r="E506" t="str">
            <v>Sulaiman</v>
          </cell>
          <cell r="F506" t="str">
            <v>Haji</v>
          </cell>
          <cell r="G506" t="str">
            <v>Sulaiman</v>
          </cell>
          <cell r="H506" t="str">
            <v>Male</v>
          </cell>
          <cell r="I506">
            <v>1997</v>
          </cell>
          <cell r="J506" t="str">
            <v>Kurdish</v>
          </cell>
          <cell r="K506" t="str">
            <v>0750 425 7774</v>
          </cell>
          <cell r="N506" t="str">
            <v>No</v>
          </cell>
          <cell r="O506" t="str">
            <v>No</v>
          </cell>
          <cell r="P506" t="str">
            <v>Local</v>
          </cell>
          <cell r="Q506" t="str">
            <v>First Year</v>
          </cell>
          <cell r="R506" t="str">
            <v>Regular</v>
          </cell>
          <cell r="T506" t="str">
            <v>Conditional</v>
          </cell>
          <cell r="U506">
            <v>0</v>
          </cell>
          <cell r="V506" t="str">
            <v>Spring</v>
          </cell>
          <cell r="W506">
            <v>2017</v>
          </cell>
          <cell r="Z506" t="str">
            <v>High School</v>
          </cell>
          <cell r="AA506">
            <v>2016</v>
          </cell>
          <cell r="AK506">
            <v>0</v>
          </cell>
          <cell r="AM506">
            <v>0</v>
          </cell>
          <cell r="AP506">
            <v>3</v>
          </cell>
        </row>
        <row r="507">
          <cell r="D507" t="str">
            <v>A21700312</v>
          </cell>
          <cell r="E507" t="str">
            <v>Gailan</v>
          </cell>
          <cell r="F507" t="str">
            <v>Tahseen</v>
          </cell>
          <cell r="G507" t="str">
            <v>Asaad</v>
          </cell>
          <cell r="H507" t="str">
            <v>Male</v>
          </cell>
          <cell r="I507">
            <v>1998</v>
          </cell>
          <cell r="J507" t="str">
            <v>Kurdish</v>
          </cell>
          <cell r="K507" t="str">
            <v>0750 424 0812</v>
          </cell>
          <cell r="N507" t="str">
            <v>No</v>
          </cell>
          <cell r="O507" t="str">
            <v>No</v>
          </cell>
          <cell r="P507" t="str">
            <v>Local</v>
          </cell>
          <cell r="Q507" t="str">
            <v>First Year</v>
          </cell>
          <cell r="R507" t="str">
            <v>Regular</v>
          </cell>
          <cell r="T507" t="str">
            <v>Conditional</v>
          </cell>
          <cell r="U507">
            <v>0</v>
          </cell>
          <cell r="V507" t="str">
            <v>Spring</v>
          </cell>
          <cell r="W507" t="str">
            <v>2017</v>
          </cell>
          <cell r="Z507" t="str">
            <v>High School</v>
          </cell>
          <cell r="AA507">
            <v>2016</v>
          </cell>
          <cell r="AK507">
            <v>0</v>
          </cell>
          <cell r="AM507">
            <v>0</v>
          </cell>
          <cell r="AP507">
            <v>3</v>
          </cell>
        </row>
        <row r="508">
          <cell r="D508" t="str">
            <v>A21700313</v>
          </cell>
          <cell r="E508" t="str">
            <v>Derbaz</v>
          </cell>
          <cell r="F508" t="str">
            <v>Zekri</v>
          </cell>
          <cell r="G508" t="str">
            <v>Omar</v>
          </cell>
          <cell r="H508" t="str">
            <v>Male</v>
          </cell>
          <cell r="I508">
            <v>1997</v>
          </cell>
          <cell r="J508" t="str">
            <v>Kurdish</v>
          </cell>
          <cell r="K508" t="str">
            <v>0750 445 7612</v>
          </cell>
          <cell r="N508" t="str">
            <v>No</v>
          </cell>
          <cell r="O508" t="str">
            <v>No</v>
          </cell>
          <cell r="P508" t="str">
            <v>Local</v>
          </cell>
          <cell r="Q508" t="str">
            <v>First Year</v>
          </cell>
          <cell r="R508" t="str">
            <v>Regular</v>
          </cell>
          <cell r="T508" t="str">
            <v>Conditional</v>
          </cell>
          <cell r="U508">
            <v>0</v>
          </cell>
          <cell r="V508" t="str">
            <v>Spring</v>
          </cell>
          <cell r="W508">
            <v>2017</v>
          </cell>
          <cell r="Z508" t="str">
            <v>High School</v>
          </cell>
          <cell r="AA508">
            <v>2016</v>
          </cell>
          <cell r="AK508">
            <v>0</v>
          </cell>
          <cell r="AM508">
            <v>0</v>
          </cell>
          <cell r="AP508">
            <v>1</v>
          </cell>
        </row>
        <row r="509">
          <cell r="D509" t="str">
            <v>A21700314</v>
          </cell>
          <cell r="E509" t="str">
            <v>Bawar</v>
          </cell>
          <cell r="F509" t="str">
            <v>Nazmi</v>
          </cell>
          <cell r="G509" t="str">
            <v>Khalid</v>
          </cell>
          <cell r="H509" t="str">
            <v>Male</v>
          </cell>
          <cell r="I509">
            <v>1998</v>
          </cell>
          <cell r="J509" t="str">
            <v>Kurdish</v>
          </cell>
          <cell r="K509" t="str">
            <v>0750 340 4769</v>
          </cell>
          <cell r="N509" t="str">
            <v>No</v>
          </cell>
          <cell r="O509" t="str">
            <v>No</v>
          </cell>
          <cell r="P509" t="str">
            <v>Local</v>
          </cell>
          <cell r="Q509" t="str">
            <v>First Year</v>
          </cell>
          <cell r="R509" t="str">
            <v>Regular</v>
          </cell>
          <cell r="T509" t="str">
            <v>Conditional</v>
          </cell>
          <cell r="U509">
            <v>0</v>
          </cell>
          <cell r="V509" t="str">
            <v>Spring</v>
          </cell>
          <cell r="W509" t="str">
            <v>2017</v>
          </cell>
          <cell r="Z509" t="str">
            <v>High School</v>
          </cell>
          <cell r="AK509">
            <v>0</v>
          </cell>
          <cell r="AM509">
            <v>0</v>
          </cell>
          <cell r="AP509">
            <v>1</v>
          </cell>
        </row>
        <row r="510">
          <cell r="D510" t="str">
            <v>A21700315</v>
          </cell>
          <cell r="E510" t="str">
            <v>Lana</v>
          </cell>
          <cell r="F510" t="str">
            <v>Nazar</v>
          </cell>
          <cell r="G510" t="str">
            <v>Mustafa</v>
          </cell>
          <cell r="H510" t="str">
            <v>Male</v>
          </cell>
          <cell r="I510">
            <v>1999</v>
          </cell>
          <cell r="J510" t="str">
            <v>Kurdish</v>
          </cell>
          <cell r="K510" t="str">
            <v>0750 777 9141</v>
          </cell>
          <cell r="N510" t="str">
            <v>No</v>
          </cell>
          <cell r="O510" t="str">
            <v>No</v>
          </cell>
          <cell r="P510" t="str">
            <v>Local</v>
          </cell>
          <cell r="Q510" t="str">
            <v>First Year</v>
          </cell>
          <cell r="R510" t="str">
            <v>Regular</v>
          </cell>
          <cell r="T510" t="str">
            <v>Conditional</v>
          </cell>
          <cell r="U510">
            <v>0</v>
          </cell>
          <cell r="V510" t="str">
            <v>Spring</v>
          </cell>
          <cell r="W510">
            <v>2017</v>
          </cell>
          <cell r="Z510" t="str">
            <v>High School</v>
          </cell>
          <cell r="AA510">
            <v>2016</v>
          </cell>
          <cell r="AK510">
            <v>0</v>
          </cell>
          <cell r="AM510">
            <v>0</v>
          </cell>
          <cell r="AP510">
            <v>5</v>
          </cell>
        </row>
        <row r="511">
          <cell r="D511" t="str">
            <v>A21700316</v>
          </cell>
          <cell r="E511" t="str">
            <v>Omran</v>
          </cell>
          <cell r="F511" t="str">
            <v>Abid</v>
          </cell>
          <cell r="G511" t="str">
            <v>Michael</v>
          </cell>
          <cell r="H511" t="str">
            <v>Male</v>
          </cell>
          <cell r="I511">
            <v>1996</v>
          </cell>
          <cell r="J511" t="str">
            <v>Kurdish</v>
          </cell>
          <cell r="K511" t="str">
            <v>0750 868 3674</v>
          </cell>
          <cell r="N511" t="str">
            <v>No</v>
          </cell>
          <cell r="O511" t="str">
            <v>No</v>
          </cell>
          <cell r="P511" t="str">
            <v>Local</v>
          </cell>
          <cell r="Q511" t="str">
            <v>First Year</v>
          </cell>
          <cell r="R511" t="str">
            <v>Regular</v>
          </cell>
          <cell r="T511" t="str">
            <v>Conditional</v>
          </cell>
          <cell r="U511">
            <v>0</v>
          </cell>
          <cell r="V511" t="str">
            <v>Spring</v>
          </cell>
          <cell r="W511" t="str">
            <v>2017</v>
          </cell>
          <cell r="Z511" t="str">
            <v>High School</v>
          </cell>
          <cell r="AA511">
            <v>2016</v>
          </cell>
          <cell r="AK511">
            <v>0</v>
          </cell>
          <cell r="AM511">
            <v>0</v>
          </cell>
          <cell r="AP511">
            <v>1</v>
          </cell>
        </row>
        <row r="512">
          <cell r="D512" t="str">
            <v>A21700317</v>
          </cell>
          <cell r="E512" t="str">
            <v>Alind</v>
          </cell>
          <cell r="F512" t="str">
            <v>Hazim</v>
          </cell>
          <cell r="G512" t="str">
            <v>Ali</v>
          </cell>
          <cell r="H512" t="str">
            <v>Male</v>
          </cell>
          <cell r="I512">
            <v>1994</v>
          </cell>
          <cell r="J512" t="str">
            <v>Kurdish</v>
          </cell>
          <cell r="K512" t="str">
            <v>0750 458 8484</v>
          </cell>
          <cell r="N512" t="str">
            <v>No</v>
          </cell>
          <cell r="O512" t="str">
            <v>No</v>
          </cell>
          <cell r="P512" t="str">
            <v>Local</v>
          </cell>
          <cell r="Q512" t="str">
            <v>First Year</v>
          </cell>
          <cell r="R512" t="str">
            <v>Regular</v>
          </cell>
          <cell r="T512" t="str">
            <v>Conditional</v>
          </cell>
          <cell r="U512">
            <v>0</v>
          </cell>
          <cell r="V512" t="str">
            <v>Spring</v>
          </cell>
          <cell r="W512">
            <v>2017</v>
          </cell>
          <cell r="Z512" t="str">
            <v>High School</v>
          </cell>
          <cell r="AK512">
            <v>0</v>
          </cell>
          <cell r="AM512">
            <v>0</v>
          </cell>
          <cell r="AP512">
            <v>2</v>
          </cell>
        </row>
        <row r="513">
          <cell r="D513" t="str">
            <v>A21700318</v>
          </cell>
          <cell r="E513" t="str">
            <v>Sarok</v>
          </cell>
          <cell r="F513" t="str">
            <v>Moslih</v>
          </cell>
          <cell r="G513" t="str">
            <v>Abdullah</v>
          </cell>
          <cell r="H513" t="str">
            <v>Male</v>
          </cell>
          <cell r="I513">
            <v>1993</v>
          </cell>
          <cell r="J513" t="str">
            <v>Kurdish</v>
          </cell>
          <cell r="K513" t="str">
            <v>0750 450 8004</v>
          </cell>
          <cell r="N513" t="str">
            <v>No</v>
          </cell>
          <cell r="O513" t="str">
            <v>No</v>
          </cell>
          <cell r="P513" t="str">
            <v>Local</v>
          </cell>
          <cell r="Q513" t="str">
            <v>First Year</v>
          </cell>
          <cell r="R513" t="str">
            <v>Regular</v>
          </cell>
          <cell r="T513" t="str">
            <v>Conditional</v>
          </cell>
          <cell r="U513">
            <v>0</v>
          </cell>
          <cell r="V513" t="str">
            <v>Spring</v>
          </cell>
          <cell r="W513" t="str">
            <v>2017</v>
          </cell>
          <cell r="Z513" t="str">
            <v>High School</v>
          </cell>
          <cell r="AK513">
            <v>0</v>
          </cell>
          <cell r="AM513">
            <v>0</v>
          </cell>
          <cell r="AP513">
            <v>1</v>
          </cell>
        </row>
        <row r="514">
          <cell r="D514" t="str">
            <v>A21700319</v>
          </cell>
          <cell r="E514" t="str">
            <v>Alyan</v>
          </cell>
          <cell r="F514" t="str">
            <v>Bikhtiyar</v>
          </cell>
          <cell r="G514" t="str">
            <v>Mohammed</v>
          </cell>
          <cell r="H514" t="str">
            <v>Female</v>
          </cell>
          <cell r="I514">
            <v>1994</v>
          </cell>
          <cell r="J514" t="str">
            <v>Kurdish</v>
          </cell>
          <cell r="K514" t="str">
            <v>0750 783 8207</v>
          </cell>
          <cell r="N514" t="str">
            <v>No</v>
          </cell>
          <cell r="O514" t="str">
            <v>No</v>
          </cell>
          <cell r="P514" t="str">
            <v>Local</v>
          </cell>
          <cell r="Q514" t="str">
            <v>First Year</v>
          </cell>
          <cell r="R514" t="str">
            <v>Regular</v>
          </cell>
          <cell r="T514" t="str">
            <v>Conditional</v>
          </cell>
          <cell r="U514">
            <v>0</v>
          </cell>
          <cell r="V514" t="str">
            <v>Spring</v>
          </cell>
          <cell r="W514">
            <v>2017</v>
          </cell>
          <cell r="Z514" t="str">
            <v>High School</v>
          </cell>
          <cell r="AK514">
            <v>0</v>
          </cell>
          <cell r="AM514">
            <v>0</v>
          </cell>
        </row>
        <row r="515">
          <cell r="D515" t="str">
            <v>A21700320</v>
          </cell>
          <cell r="E515" t="str">
            <v>Khairullah</v>
          </cell>
          <cell r="F515" t="str">
            <v>Abdullah</v>
          </cell>
          <cell r="G515" t="str">
            <v>M.Salih</v>
          </cell>
          <cell r="H515" t="str">
            <v>Male</v>
          </cell>
          <cell r="I515">
            <v>1996</v>
          </cell>
          <cell r="J515" t="str">
            <v>Kurdish</v>
          </cell>
          <cell r="K515" t="str">
            <v>0750 451 7085</v>
          </cell>
          <cell r="N515" t="str">
            <v>No</v>
          </cell>
          <cell r="O515" t="str">
            <v>No</v>
          </cell>
          <cell r="P515" t="str">
            <v>Local</v>
          </cell>
          <cell r="Q515" t="str">
            <v>First Year</v>
          </cell>
          <cell r="R515" t="str">
            <v>Regular</v>
          </cell>
          <cell r="T515" t="str">
            <v>Conditional</v>
          </cell>
          <cell r="U515">
            <v>0</v>
          </cell>
          <cell r="V515" t="str">
            <v>Spring</v>
          </cell>
          <cell r="W515" t="str">
            <v>2017</v>
          </cell>
          <cell r="Z515" t="str">
            <v>High School</v>
          </cell>
          <cell r="AK515">
            <v>0</v>
          </cell>
          <cell r="AM515">
            <v>0</v>
          </cell>
          <cell r="AP515">
            <v>1</v>
          </cell>
        </row>
        <row r="516">
          <cell r="D516" t="str">
            <v>A21700321</v>
          </cell>
          <cell r="E516" t="str">
            <v>Nibar</v>
          </cell>
          <cell r="F516" t="str">
            <v>Omar</v>
          </cell>
          <cell r="G516" t="str">
            <v>M.Salih</v>
          </cell>
          <cell r="H516" t="str">
            <v>Male</v>
          </cell>
          <cell r="I516">
            <v>1995</v>
          </cell>
          <cell r="J516" t="str">
            <v>Kurdish</v>
          </cell>
          <cell r="K516" t="str">
            <v>0750 867 8767</v>
          </cell>
          <cell r="N516" t="str">
            <v>No</v>
          </cell>
          <cell r="O516" t="str">
            <v>No</v>
          </cell>
          <cell r="P516" t="str">
            <v>Local</v>
          </cell>
          <cell r="Q516" t="str">
            <v>First Year</v>
          </cell>
          <cell r="R516" t="str">
            <v>Regular</v>
          </cell>
          <cell r="T516" t="str">
            <v>Conditional</v>
          </cell>
          <cell r="U516">
            <v>0</v>
          </cell>
          <cell r="V516" t="str">
            <v>Spring</v>
          </cell>
          <cell r="W516">
            <v>2017</v>
          </cell>
          <cell r="Z516" t="str">
            <v>High School</v>
          </cell>
          <cell r="AK516">
            <v>0</v>
          </cell>
          <cell r="AM516">
            <v>0</v>
          </cell>
          <cell r="AP516">
            <v>1</v>
          </cell>
        </row>
        <row r="517">
          <cell r="D517" t="str">
            <v>A21700322</v>
          </cell>
          <cell r="E517" t="str">
            <v>Malk</v>
          </cell>
          <cell r="F517" t="str">
            <v>Hussein</v>
          </cell>
          <cell r="G517" t="str">
            <v>M.Ameen</v>
          </cell>
          <cell r="H517" t="str">
            <v>Male</v>
          </cell>
          <cell r="I517">
            <v>1997</v>
          </cell>
          <cell r="J517" t="str">
            <v>Kurdish</v>
          </cell>
          <cell r="K517" t="str">
            <v>0750 444 1743</v>
          </cell>
          <cell r="N517" t="str">
            <v>No</v>
          </cell>
          <cell r="O517" t="str">
            <v>No</v>
          </cell>
          <cell r="P517" t="str">
            <v>Local</v>
          </cell>
          <cell r="Q517" t="str">
            <v>First Year</v>
          </cell>
          <cell r="R517" t="str">
            <v>Regular</v>
          </cell>
          <cell r="T517" t="str">
            <v>Conditional</v>
          </cell>
          <cell r="U517">
            <v>0</v>
          </cell>
          <cell r="V517" t="str">
            <v>Spring</v>
          </cell>
          <cell r="W517" t="str">
            <v>2017</v>
          </cell>
          <cell r="Z517" t="str">
            <v>High School</v>
          </cell>
          <cell r="AA517">
            <v>2014</v>
          </cell>
          <cell r="AK517">
            <v>0</v>
          </cell>
          <cell r="AM517">
            <v>0</v>
          </cell>
          <cell r="AP517">
            <v>1</v>
          </cell>
        </row>
        <row r="518">
          <cell r="D518" t="str">
            <v>A21700323</v>
          </cell>
          <cell r="E518" t="str">
            <v>Nor</v>
          </cell>
          <cell r="F518" t="str">
            <v>Fanar</v>
          </cell>
          <cell r="G518" t="str">
            <v>Ibrahim</v>
          </cell>
          <cell r="H518" t="str">
            <v>Female</v>
          </cell>
          <cell r="I518">
            <v>1997</v>
          </cell>
          <cell r="J518" t="str">
            <v>Kurdish</v>
          </cell>
          <cell r="N518" t="str">
            <v>No</v>
          </cell>
          <cell r="O518" t="str">
            <v>No</v>
          </cell>
          <cell r="P518" t="str">
            <v>Local</v>
          </cell>
          <cell r="Q518" t="str">
            <v>First Year</v>
          </cell>
          <cell r="R518" t="str">
            <v>Regular</v>
          </cell>
          <cell r="T518" t="str">
            <v>Conditional</v>
          </cell>
          <cell r="V518" t="str">
            <v>Spring</v>
          </cell>
          <cell r="W518">
            <v>2017</v>
          </cell>
          <cell r="Z518" t="str">
            <v>High School</v>
          </cell>
          <cell r="AK518">
            <v>0</v>
          </cell>
          <cell r="AM518">
            <v>0</v>
          </cell>
        </row>
        <row r="519">
          <cell r="D519" t="str">
            <v>A21700324</v>
          </cell>
          <cell r="E519" t="str">
            <v>Zirak</v>
          </cell>
          <cell r="F519" t="str">
            <v>M. Ameen</v>
          </cell>
          <cell r="G519" t="str">
            <v>Hadi</v>
          </cell>
          <cell r="H519" t="str">
            <v>Male</v>
          </cell>
          <cell r="I519">
            <v>1991</v>
          </cell>
          <cell r="J519" t="str">
            <v>Kurdish</v>
          </cell>
          <cell r="K519" t="str">
            <v>0750 1714848</v>
          </cell>
          <cell r="N519" t="str">
            <v>No</v>
          </cell>
          <cell r="O519" t="str">
            <v>No</v>
          </cell>
          <cell r="P519" t="str">
            <v>Local</v>
          </cell>
          <cell r="Q519" t="str">
            <v>First Year</v>
          </cell>
          <cell r="R519" t="str">
            <v>Regular</v>
          </cell>
          <cell r="T519" t="str">
            <v>Conditional</v>
          </cell>
          <cell r="U519">
            <v>0</v>
          </cell>
          <cell r="V519" t="str">
            <v>Spring</v>
          </cell>
          <cell r="W519">
            <v>2017</v>
          </cell>
          <cell r="Z519" t="str">
            <v>High School</v>
          </cell>
          <cell r="AK519">
            <v>0</v>
          </cell>
          <cell r="AM519">
            <v>0</v>
          </cell>
        </row>
        <row r="520">
          <cell r="D520" t="str">
            <v>A21700325</v>
          </cell>
          <cell r="E520" t="str">
            <v>Elaf</v>
          </cell>
          <cell r="F520" t="str">
            <v>Shakir</v>
          </cell>
          <cell r="G520" t="str">
            <v>Hussein</v>
          </cell>
          <cell r="H520" t="str">
            <v>Female</v>
          </cell>
          <cell r="I520">
            <v>1995</v>
          </cell>
          <cell r="J520" t="str">
            <v>Arab</v>
          </cell>
          <cell r="K520" t="str">
            <v>0750 761 5958</v>
          </cell>
          <cell r="N520" t="str">
            <v>No</v>
          </cell>
          <cell r="O520" t="str">
            <v>No</v>
          </cell>
          <cell r="P520" t="str">
            <v>Local</v>
          </cell>
          <cell r="Q520" t="str">
            <v>First Year</v>
          </cell>
          <cell r="R520" t="str">
            <v>Regular</v>
          </cell>
          <cell r="T520" t="str">
            <v>Conditional</v>
          </cell>
          <cell r="U520">
            <v>0</v>
          </cell>
          <cell r="V520" t="str">
            <v>Spring</v>
          </cell>
          <cell r="W520">
            <v>2017</v>
          </cell>
          <cell r="Z520" t="str">
            <v>High School</v>
          </cell>
          <cell r="AK520">
            <v>0</v>
          </cell>
          <cell r="AM520">
            <v>0</v>
          </cell>
        </row>
        <row r="521">
          <cell r="D521" t="str">
            <v>A21700326</v>
          </cell>
          <cell r="E521" t="str">
            <v>Sara</v>
          </cell>
          <cell r="F521" t="str">
            <v>Abdulameer</v>
          </cell>
          <cell r="G521" t="str">
            <v>Ismail</v>
          </cell>
          <cell r="H521" t="str">
            <v>Female</v>
          </cell>
          <cell r="I521">
            <v>1999</v>
          </cell>
          <cell r="J521" t="str">
            <v>Kurdish</v>
          </cell>
          <cell r="K521" t="str">
            <v>0750 474 1472</v>
          </cell>
          <cell r="L521" t="str">
            <v>0750 473 8299</v>
          </cell>
          <cell r="N521" t="str">
            <v>No</v>
          </cell>
          <cell r="O521" t="str">
            <v>No</v>
          </cell>
          <cell r="P521" t="str">
            <v>Local</v>
          </cell>
          <cell r="Q521" t="str">
            <v>First Year</v>
          </cell>
          <cell r="R521" t="str">
            <v>Regular</v>
          </cell>
          <cell r="T521" t="str">
            <v>Conditional</v>
          </cell>
          <cell r="U521">
            <v>0</v>
          </cell>
          <cell r="V521" t="str">
            <v>Spring</v>
          </cell>
          <cell r="W521" t="str">
            <v>2017</v>
          </cell>
          <cell r="Z521" t="str">
            <v>High School</v>
          </cell>
          <cell r="AA521">
            <v>2016</v>
          </cell>
          <cell r="AB521">
            <v>1</v>
          </cell>
          <cell r="AC521">
            <v>1</v>
          </cell>
          <cell r="AD521" t="str">
            <v>Science</v>
          </cell>
          <cell r="AE521" t="str">
            <v>Haval</v>
          </cell>
          <cell r="AK521">
            <v>0</v>
          </cell>
          <cell r="AM521">
            <v>0</v>
          </cell>
          <cell r="AP521">
            <v>1</v>
          </cell>
        </row>
        <row r="522">
          <cell r="D522" t="str">
            <v>A000327</v>
          </cell>
          <cell r="U522">
            <v>0</v>
          </cell>
          <cell r="AK522">
            <v>0</v>
          </cell>
          <cell r="AM522">
            <v>0</v>
          </cell>
        </row>
        <row r="523">
          <cell r="D523" t="str">
            <v>A000328</v>
          </cell>
          <cell r="U523">
            <v>0</v>
          </cell>
          <cell r="AK523">
            <v>0</v>
          </cell>
          <cell r="AM523">
            <v>0</v>
          </cell>
        </row>
        <row r="524">
          <cell r="D524" t="str">
            <v>A000329</v>
          </cell>
          <cell r="U524">
            <v>0</v>
          </cell>
          <cell r="AK524">
            <v>0</v>
          </cell>
          <cell r="AM524">
            <v>0</v>
          </cell>
        </row>
        <row r="525">
          <cell r="D525" t="str">
            <v>A000330</v>
          </cell>
          <cell r="U525">
            <v>0</v>
          </cell>
          <cell r="AK525">
            <v>0</v>
          </cell>
          <cell r="AM525">
            <v>0</v>
          </cell>
        </row>
        <row r="526">
          <cell r="D526" t="str">
            <v>A000331</v>
          </cell>
          <cell r="U526">
            <v>0</v>
          </cell>
          <cell r="AK526">
            <v>0</v>
          </cell>
          <cell r="AM526">
            <v>0</v>
          </cell>
        </row>
        <row r="527">
          <cell r="D527" t="str">
            <v>A000332</v>
          </cell>
          <cell r="U527">
            <v>0</v>
          </cell>
          <cell r="AK527">
            <v>0</v>
          </cell>
          <cell r="AM527">
            <v>0</v>
          </cell>
        </row>
        <row r="528">
          <cell r="D528" t="str">
            <v>A000333</v>
          </cell>
          <cell r="U528">
            <v>0</v>
          </cell>
          <cell r="AK528">
            <v>0</v>
          </cell>
          <cell r="AM528">
            <v>0</v>
          </cell>
        </row>
        <row r="529">
          <cell r="D529" t="str">
            <v>A000334</v>
          </cell>
          <cell r="U529">
            <v>0</v>
          </cell>
          <cell r="AK529">
            <v>0</v>
          </cell>
          <cell r="AM529">
            <v>0</v>
          </cell>
        </row>
        <row r="530">
          <cell r="D530" t="str">
            <v>A000335</v>
          </cell>
          <cell r="U530">
            <v>0</v>
          </cell>
          <cell r="AK530">
            <v>0</v>
          </cell>
          <cell r="AM530">
            <v>0</v>
          </cell>
        </row>
        <row r="531">
          <cell r="D531" t="str">
            <v>A000336</v>
          </cell>
          <cell r="U531">
            <v>0</v>
          </cell>
          <cell r="AK531">
            <v>0</v>
          </cell>
          <cell r="AM531">
            <v>0</v>
          </cell>
        </row>
        <row r="532">
          <cell r="D532" t="str">
            <v>A000337</v>
          </cell>
          <cell r="U532">
            <v>0</v>
          </cell>
          <cell r="AK532">
            <v>0</v>
          </cell>
          <cell r="AM532">
            <v>0</v>
          </cell>
        </row>
        <row r="533">
          <cell r="D533" t="str">
            <v>A000338</v>
          </cell>
          <cell r="U533">
            <v>0</v>
          </cell>
          <cell r="AK533">
            <v>0</v>
          </cell>
          <cell r="AM533">
            <v>0</v>
          </cell>
        </row>
        <row r="534">
          <cell r="D534" t="str">
            <v>A000339</v>
          </cell>
          <cell r="U534">
            <v>0</v>
          </cell>
          <cell r="AK534">
            <v>0</v>
          </cell>
          <cell r="AM534">
            <v>0</v>
          </cell>
        </row>
        <row r="535">
          <cell r="D535" t="str">
            <v>A000340</v>
          </cell>
          <cell r="U535">
            <v>0</v>
          </cell>
          <cell r="AK535">
            <v>0</v>
          </cell>
          <cell r="AM535">
            <v>0</v>
          </cell>
        </row>
        <row r="536">
          <cell r="D536" t="str">
            <v>A000341</v>
          </cell>
          <cell r="U536">
            <v>0</v>
          </cell>
          <cell r="AK536">
            <v>0</v>
          </cell>
          <cell r="AM536">
            <v>0</v>
          </cell>
        </row>
        <row r="537">
          <cell r="D537" t="str">
            <v>A000342</v>
          </cell>
          <cell r="U537">
            <v>0</v>
          </cell>
          <cell r="AK537">
            <v>0</v>
          </cell>
          <cell r="AM537">
            <v>0</v>
          </cell>
        </row>
        <row r="538">
          <cell r="D538" t="str">
            <v>A000343</v>
          </cell>
          <cell r="U538">
            <v>0</v>
          </cell>
          <cell r="AK538">
            <v>0</v>
          </cell>
          <cell r="AM538">
            <v>0</v>
          </cell>
        </row>
        <row r="539">
          <cell r="D539" t="str">
            <v>A000344</v>
          </cell>
          <cell r="U539">
            <v>0</v>
          </cell>
          <cell r="AK539">
            <v>0</v>
          </cell>
          <cell r="AM539">
            <v>0</v>
          </cell>
        </row>
        <row r="540">
          <cell r="D540" t="str">
            <v>A000345</v>
          </cell>
          <cell r="U540">
            <v>0</v>
          </cell>
          <cell r="AK540">
            <v>0</v>
          </cell>
          <cell r="AM540">
            <v>0</v>
          </cell>
        </row>
        <row r="541">
          <cell r="D541" t="str">
            <v>A000346</v>
          </cell>
          <cell r="U541">
            <v>0</v>
          </cell>
          <cell r="AK541">
            <v>0</v>
          </cell>
          <cell r="AM541">
            <v>0</v>
          </cell>
        </row>
        <row r="542">
          <cell r="D542" t="str">
            <v>A000347</v>
          </cell>
          <cell r="U542">
            <v>0</v>
          </cell>
          <cell r="AK542">
            <v>0</v>
          </cell>
          <cell r="AM542">
            <v>0</v>
          </cell>
        </row>
        <row r="543">
          <cell r="D543" t="str">
            <v>A000348</v>
          </cell>
          <cell r="U543">
            <v>0</v>
          </cell>
          <cell r="AK543">
            <v>0</v>
          </cell>
          <cell r="AM543">
            <v>0</v>
          </cell>
        </row>
        <row r="544">
          <cell r="D544" t="str">
            <v>A000349</v>
          </cell>
          <cell r="U544">
            <v>0</v>
          </cell>
          <cell r="AK544">
            <v>0</v>
          </cell>
          <cell r="AM544">
            <v>0</v>
          </cell>
        </row>
        <row r="545">
          <cell r="D545" t="str">
            <v>A000350</v>
          </cell>
          <cell r="U545">
            <v>0</v>
          </cell>
          <cell r="AK545">
            <v>0</v>
          </cell>
          <cell r="AM545">
            <v>0</v>
          </cell>
        </row>
        <row r="546">
          <cell r="D546" t="str">
            <v>A000351</v>
          </cell>
          <cell r="U546">
            <v>0</v>
          </cell>
          <cell r="AK546">
            <v>0</v>
          </cell>
          <cell r="AM546">
            <v>0</v>
          </cell>
        </row>
        <row r="547">
          <cell r="D547" t="str">
            <v>A000352</v>
          </cell>
          <cell r="U547">
            <v>0</v>
          </cell>
          <cell r="AK547">
            <v>0</v>
          </cell>
          <cell r="AM547">
            <v>0</v>
          </cell>
        </row>
        <row r="548">
          <cell r="D548" t="str">
            <v>A000353</v>
          </cell>
          <cell r="U548">
            <v>0</v>
          </cell>
          <cell r="AK548">
            <v>0</v>
          </cell>
          <cell r="AM548">
            <v>0</v>
          </cell>
        </row>
        <row r="549">
          <cell r="D549" t="str">
            <v>A000354</v>
          </cell>
          <cell r="U549">
            <v>0</v>
          </cell>
          <cell r="AK549">
            <v>0</v>
          </cell>
          <cell r="AM549">
            <v>0</v>
          </cell>
        </row>
        <row r="550">
          <cell r="D550" t="str">
            <v>A000355</v>
          </cell>
          <cell r="U550">
            <v>0</v>
          </cell>
          <cell r="AK550">
            <v>0</v>
          </cell>
          <cell r="AM550">
            <v>0</v>
          </cell>
        </row>
        <row r="551">
          <cell r="D551" t="str">
            <v>A000356</v>
          </cell>
          <cell r="U551">
            <v>0</v>
          </cell>
          <cell r="AK551">
            <v>0</v>
          </cell>
          <cell r="AM551">
            <v>0</v>
          </cell>
        </row>
        <row r="552">
          <cell r="D552" t="str">
            <v>A000357</v>
          </cell>
          <cell r="U552">
            <v>0</v>
          </cell>
          <cell r="AK552">
            <v>0</v>
          </cell>
          <cell r="AM552">
            <v>0</v>
          </cell>
        </row>
        <row r="553">
          <cell r="D553" t="str">
            <v>A000358</v>
          </cell>
          <cell r="U553">
            <v>0</v>
          </cell>
          <cell r="AK553">
            <v>0</v>
          </cell>
          <cell r="AM553">
            <v>0</v>
          </cell>
        </row>
        <row r="554">
          <cell r="D554" t="str">
            <v>A000359</v>
          </cell>
          <cell r="U554">
            <v>0</v>
          </cell>
          <cell r="AK554">
            <v>0</v>
          </cell>
          <cell r="AM554">
            <v>0</v>
          </cell>
        </row>
        <row r="555">
          <cell r="D555" t="str">
            <v>A000360</v>
          </cell>
          <cell r="U555">
            <v>0</v>
          </cell>
          <cell r="AK555">
            <v>0</v>
          </cell>
          <cell r="AM555">
            <v>0</v>
          </cell>
        </row>
        <row r="556">
          <cell r="D556" t="str">
            <v>A000361</v>
          </cell>
          <cell r="U556">
            <v>0</v>
          </cell>
          <cell r="AK556">
            <v>0</v>
          </cell>
          <cell r="AM556">
            <v>0</v>
          </cell>
        </row>
        <row r="557">
          <cell r="D557" t="str">
            <v>A000362</v>
          </cell>
          <cell r="U557">
            <v>0</v>
          </cell>
          <cell r="AK557">
            <v>0</v>
          </cell>
          <cell r="AM557">
            <v>0</v>
          </cell>
        </row>
        <row r="558">
          <cell r="D558" t="str">
            <v>A000363</v>
          </cell>
          <cell r="U558">
            <v>0</v>
          </cell>
          <cell r="AK558">
            <v>0</v>
          </cell>
          <cell r="AM558">
            <v>0</v>
          </cell>
        </row>
        <row r="559">
          <cell r="D559" t="str">
            <v>A000364</v>
          </cell>
          <cell r="U559">
            <v>0</v>
          </cell>
          <cell r="AK559">
            <v>0</v>
          </cell>
          <cell r="AM559">
            <v>0</v>
          </cell>
        </row>
        <row r="560">
          <cell r="D560" t="str">
            <v>A000365</v>
          </cell>
          <cell r="U560">
            <v>0</v>
          </cell>
          <cell r="AK560">
            <v>0</v>
          </cell>
          <cell r="AM560">
            <v>0</v>
          </cell>
        </row>
        <row r="561">
          <cell r="D561" t="str">
            <v>A000366</v>
          </cell>
          <cell r="U561">
            <v>0</v>
          </cell>
          <cell r="AK561">
            <v>0</v>
          </cell>
          <cell r="AM561">
            <v>0</v>
          </cell>
        </row>
        <row r="562">
          <cell r="D562" t="str">
            <v>A000367</v>
          </cell>
          <cell r="U562">
            <v>0</v>
          </cell>
          <cell r="AK562">
            <v>0</v>
          </cell>
          <cell r="AM562">
            <v>0</v>
          </cell>
        </row>
        <row r="563">
          <cell r="D563" t="str">
            <v>A000368</v>
          </cell>
          <cell r="U563">
            <v>0</v>
          </cell>
          <cell r="AK563">
            <v>0</v>
          </cell>
          <cell r="AM563">
            <v>0</v>
          </cell>
        </row>
        <row r="564">
          <cell r="D564" t="str">
            <v>A000369</v>
          </cell>
          <cell r="U564">
            <v>0</v>
          </cell>
          <cell r="AK564">
            <v>0</v>
          </cell>
          <cell r="AM564">
            <v>0</v>
          </cell>
        </row>
        <row r="565">
          <cell r="D565" t="str">
            <v>A000370</v>
          </cell>
          <cell r="U565">
            <v>0</v>
          </cell>
          <cell r="AK565">
            <v>0</v>
          </cell>
          <cell r="AM565">
            <v>0</v>
          </cell>
        </row>
        <row r="566">
          <cell r="D566" t="str">
            <v>A000371</v>
          </cell>
          <cell r="U566">
            <v>0</v>
          </cell>
          <cell r="AK566">
            <v>0</v>
          </cell>
          <cell r="AM566">
            <v>0</v>
          </cell>
        </row>
        <row r="567">
          <cell r="D567" t="str">
            <v>A000372</v>
          </cell>
          <cell r="U567">
            <v>0</v>
          </cell>
          <cell r="AK567">
            <v>0</v>
          </cell>
          <cell r="AM567">
            <v>0</v>
          </cell>
        </row>
        <row r="568">
          <cell r="D568" t="str">
            <v>A000373</v>
          </cell>
          <cell r="U568">
            <v>0</v>
          </cell>
          <cell r="AK568">
            <v>0</v>
          </cell>
          <cell r="AM568">
            <v>0</v>
          </cell>
        </row>
        <row r="569">
          <cell r="D569" t="str">
            <v>A000374</v>
          </cell>
          <cell r="U569">
            <v>0</v>
          </cell>
          <cell r="AK569">
            <v>0</v>
          </cell>
          <cell r="AM569">
            <v>0</v>
          </cell>
        </row>
        <row r="570">
          <cell r="D570" t="str">
            <v>A000375</v>
          </cell>
          <cell r="U570">
            <v>0</v>
          </cell>
          <cell r="AK570">
            <v>0</v>
          </cell>
          <cell r="AM570">
            <v>0</v>
          </cell>
        </row>
        <row r="571">
          <cell r="D571" t="str">
            <v>A000376</v>
          </cell>
          <cell r="U571">
            <v>0</v>
          </cell>
          <cell r="AK571">
            <v>0</v>
          </cell>
          <cell r="AM571">
            <v>0</v>
          </cell>
        </row>
        <row r="572">
          <cell r="D572" t="str">
            <v>A000377</v>
          </cell>
          <cell r="U572">
            <v>0</v>
          </cell>
          <cell r="AK572">
            <v>0</v>
          </cell>
          <cell r="AM572">
            <v>0</v>
          </cell>
        </row>
        <row r="573">
          <cell r="D573" t="str">
            <v>A000378</v>
          </cell>
          <cell r="U573">
            <v>0</v>
          </cell>
          <cell r="AK573">
            <v>0</v>
          </cell>
          <cell r="AM573">
            <v>0</v>
          </cell>
        </row>
        <row r="574">
          <cell r="D574" t="str">
            <v>A000379</v>
          </cell>
          <cell r="U574">
            <v>0</v>
          </cell>
          <cell r="AK574">
            <v>0</v>
          </cell>
          <cell r="AM574">
            <v>0</v>
          </cell>
        </row>
        <row r="575">
          <cell r="D575" t="str">
            <v>A000380</v>
          </cell>
          <cell r="U575">
            <v>0</v>
          </cell>
          <cell r="AK575">
            <v>0</v>
          </cell>
          <cell r="AM575">
            <v>0</v>
          </cell>
        </row>
        <row r="576">
          <cell r="D576" t="str">
            <v>A000381</v>
          </cell>
          <cell r="U576">
            <v>0</v>
          </cell>
          <cell r="AK576">
            <v>0</v>
          </cell>
          <cell r="AM576">
            <v>0</v>
          </cell>
        </row>
        <row r="577">
          <cell r="D577" t="str">
            <v>A000382</v>
          </cell>
          <cell r="U577">
            <v>0</v>
          </cell>
          <cell r="AK577">
            <v>0</v>
          </cell>
          <cell r="AM577">
            <v>0</v>
          </cell>
        </row>
        <row r="578">
          <cell r="D578" t="str">
            <v>A000383</v>
          </cell>
          <cell r="U578">
            <v>0</v>
          </cell>
          <cell r="AK578">
            <v>0</v>
          </cell>
          <cell r="AM578">
            <v>0</v>
          </cell>
        </row>
        <row r="579">
          <cell r="D579" t="str">
            <v>A000384</v>
          </cell>
          <cell r="U579">
            <v>0</v>
          </cell>
          <cell r="AK579">
            <v>0</v>
          </cell>
          <cell r="AM579">
            <v>0</v>
          </cell>
        </row>
        <row r="580">
          <cell r="D580" t="str">
            <v>A000385</v>
          </cell>
          <cell r="U580">
            <v>0</v>
          </cell>
          <cell r="AK580">
            <v>0</v>
          </cell>
          <cell r="AM580">
            <v>0</v>
          </cell>
        </row>
        <row r="581">
          <cell r="D581" t="str">
            <v>A000386</v>
          </cell>
          <cell r="U581">
            <v>0</v>
          </cell>
          <cell r="AK581">
            <v>0</v>
          </cell>
          <cell r="AM581">
            <v>0</v>
          </cell>
        </row>
        <row r="582">
          <cell r="D582" t="str">
            <v>A000387</v>
          </cell>
          <cell r="U582">
            <v>0</v>
          </cell>
          <cell r="AK582">
            <v>0</v>
          </cell>
          <cell r="AM582">
            <v>0</v>
          </cell>
        </row>
        <row r="583">
          <cell r="D583" t="str">
            <v>A000388</v>
          </cell>
          <cell r="U583">
            <v>0</v>
          </cell>
          <cell r="AK583">
            <v>0</v>
          </cell>
          <cell r="AM583">
            <v>0</v>
          </cell>
        </row>
        <row r="584">
          <cell r="D584" t="str">
            <v>A000389</v>
          </cell>
          <cell r="U584">
            <v>0</v>
          </cell>
          <cell r="AK584">
            <v>0</v>
          </cell>
          <cell r="AM584">
            <v>0</v>
          </cell>
        </row>
        <row r="585">
          <cell r="D585" t="str">
            <v>A000390</v>
          </cell>
          <cell r="U585">
            <v>0</v>
          </cell>
          <cell r="AK585">
            <v>0</v>
          </cell>
          <cell r="AM585">
            <v>0</v>
          </cell>
        </row>
        <row r="586">
          <cell r="D586" t="str">
            <v>A000391</v>
          </cell>
          <cell r="U586">
            <v>0</v>
          </cell>
          <cell r="AK586">
            <v>0</v>
          </cell>
          <cell r="AM586">
            <v>0</v>
          </cell>
        </row>
        <row r="587">
          <cell r="D587" t="str">
            <v>A000392</v>
          </cell>
          <cell r="U587">
            <v>0</v>
          </cell>
          <cell r="AK587">
            <v>0</v>
          </cell>
          <cell r="AM587">
            <v>0</v>
          </cell>
        </row>
        <row r="588">
          <cell r="D588" t="str">
            <v>A000393</v>
          </cell>
          <cell r="U588">
            <v>0</v>
          </cell>
          <cell r="AK588">
            <v>0</v>
          </cell>
          <cell r="AM588">
            <v>0</v>
          </cell>
        </row>
        <row r="589">
          <cell r="D589" t="str">
            <v>A000394</v>
          </cell>
          <cell r="U589">
            <v>0</v>
          </cell>
          <cell r="AK589">
            <v>0</v>
          </cell>
          <cell r="AM589">
            <v>0</v>
          </cell>
        </row>
        <row r="590">
          <cell r="D590" t="str">
            <v>A000395</v>
          </cell>
          <cell r="U590">
            <v>0</v>
          </cell>
          <cell r="AK590">
            <v>0</v>
          </cell>
          <cell r="AM590">
            <v>0</v>
          </cell>
        </row>
        <row r="591">
          <cell r="D591" t="str">
            <v>A000396</v>
          </cell>
          <cell r="U591">
            <v>0</v>
          </cell>
          <cell r="AK591">
            <v>0</v>
          </cell>
          <cell r="AM591">
            <v>0</v>
          </cell>
        </row>
        <row r="592">
          <cell r="D592" t="str">
            <v>A000397</v>
          </cell>
          <cell r="U592">
            <v>0</v>
          </cell>
          <cell r="AK592">
            <v>0</v>
          </cell>
          <cell r="AM592">
            <v>0</v>
          </cell>
        </row>
        <row r="593">
          <cell r="D593" t="str">
            <v>A000398</v>
          </cell>
          <cell r="U593">
            <v>0</v>
          </cell>
          <cell r="AK593">
            <v>0</v>
          </cell>
          <cell r="AM593">
            <v>0</v>
          </cell>
        </row>
        <row r="594">
          <cell r="D594" t="str">
            <v>A000399</v>
          </cell>
          <cell r="U594">
            <v>0</v>
          </cell>
          <cell r="AK594">
            <v>0</v>
          </cell>
          <cell r="AM594">
            <v>0</v>
          </cell>
        </row>
        <row r="595">
          <cell r="D595" t="str">
            <v>A000400</v>
          </cell>
          <cell r="U595">
            <v>0</v>
          </cell>
          <cell r="AK595">
            <v>0</v>
          </cell>
          <cell r="AM595">
            <v>0</v>
          </cell>
        </row>
        <row r="596">
          <cell r="D596" t="str">
            <v>A000401</v>
          </cell>
          <cell r="U596">
            <v>0</v>
          </cell>
          <cell r="AK596">
            <v>0</v>
          </cell>
          <cell r="AM596">
            <v>0</v>
          </cell>
        </row>
        <row r="597">
          <cell r="D597" t="str">
            <v>A000402</v>
          </cell>
          <cell r="U597">
            <v>0</v>
          </cell>
          <cell r="AK597">
            <v>0</v>
          </cell>
          <cell r="AM597">
            <v>0</v>
          </cell>
        </row>
        <row r="598">
          <cell r="D598" t="str">
            <v>A000403</v>
          </cell>
          <cell r="U598">
            <v>0</v>
          </cell>
          <cell r="AK598">
            <v>0</v>
          </cell>
          <cell r="AM598">
            <v>0</v>
          </cell>
        </row>
        <row r="599">
          <cell r="D599" t="str">
            <v>A000404</v>
          </cell>
          <cell r="U599">
            <v>0</v>
          </cell>
          <cell r="AK599">
            <v>0</v>
          </cell>
          <cell r="AM599">
            <v>0</v>
          </cell>
        </row>
        <row r="600">
          <cell r="D600" t="str">
            <v>A000405</v>
          </cell>
          <cell r="U600">
            <v>0</v>
          </cell>
          <cell r="AK600">
            <v>0</v>
          </cell>
          <cell r="AM600">
            <v>0</v>
          </cell>
        </row>
        <row r="601">
          <cell r="D601" t="str">
            <v>A000406</v>
          </cell>
          <cell r="U601">
            <v>0</v>
          </cell>
          <cell r="AK601">
            <v>0</v>
          </cell>
          <cell r="AM601">
            <v>0</v>
          </cell>
        </row>
        <row r="602">
          <cell r="D602" t="str">
            <v>A000407</v>
          </cell>
          <cell r="U602">
            <v>0</v>
          </cell>
          <cell r="AK602">
            <v>0</v>
          </cell>
          <cell r="AM602">
            <v>0</v>
          </cell>
        </row>
        <row r="603">
          <cell r="D603" t="str">
            <v>A000408</v>
          </cell>
          <cell r="U603">
            <v>0</v>
          </cell>
          <cell r="AK603">
            <v>0</v>
          </cell>
          <cell r="AM603">
            <v>0</v>
          </cell>
        </row>
        <row r="604">
          <cell r="D604" t="str">
            <v>A000409</v>
          </cell>
          <cell r="U604">
            <v>0</v>
          </cell>
          <cell r="AK604">
            <v>0</v>
          </cell>
          <cell r="AM604">
            <v>0</v>
          </cell>
        </row>
        <row r="605">
          <cell r="D605" t="str">
            <v>A000410</v>
          </cell>
          <cell r="U605">
            <v>0</v>
          </cell>
          <cell r="AK605">
            <v>0</v>
          </cell>
          <cell r="AM605">
            <v>0</v>
          </cell>
        </row>
        <row r="606">
          <cell r="D606" t="str">
            <v>A000411</v>
          </cell>
          <cell r="U606">
            <v>0</v>
          </cell>
          <cell r="AK606">
            <v>0</v>
          </cell>
          <cell r="AM606">
            <v>0</v>
          </cell>
        </row>
        <row r="607">
          <cell r="D607" t="str">
            <v>A000412</v>
          </cell>
          <cell r="U607">
            <v>0</v>
          </cell>
          <cell r="AK607">
            <v>0</v>
          </cell>
          <cell r="AM607">
            <v>0</v>
          </cell>
        </row>
        <row r="608">
          <cell r="D608" t="str">
            <v>A000413</v>
          </cell>
          <cell r="U608">
            <v>0</v>
          </cell>
          <cell r="AK608">
            <v>0</v>
          </cell>
          <cell r="AM608">
            <v>0</v>
          </cell>
        </row>
        <row r="609">
          <cell r="D609" t="str">
            <v>A000414</v>
          </cell>
          <cell r="U609">
            <v>0</v>
          </cell>
          <cell r="AK609">
            <v>0</v>
          </cell>
          <cell r="AM609">
            <v>0</v>
          </cell>
        </row>
        <row r="610">
          <cell r="D610" t="str">
            <v>A000415</v>
          </cell>
          <cell r="U610">
            <v>0</v>
          </cell>
          <cell r="AK610">
            <v>0</v>
          </cell>
          <cell r="AM610">
            <v>0</v>
          </cell>
        </row>
        <row r="611">
          <cell r="D611" t="str">
            <v>A000416</v>
          </cell>
          <cell r="U611">
            <v>0</v>
          </cell>
          <cell r="AK611">
            <v>0</v>
          </cell>
          <cell r="AM611">
            <v>0</v>
          </cell>
        </row>
        <row r="612">
          <cell r="D612" t="str">
            <v>A000417</v>
          </cell>
          <cell r="U612">
            <v>0</v>
          </cell>
          <cell r="AK612">
            <v>0</v>
          </cell>
          <cell r="AM612">
            <v>0</v>
          </cell>
        </row>
        <row r="613">
          <cell r="D613" t="str">
            <v>A000418</v>
          </cell>
          <cell r="U613">
            <v>0</v>
          </cell>
          <cell r="AK613">
            <v>0</v>
          </cell>
          <cell r="AM613">
            <v>0</v>
          </cell>
        </row>
        <row r="614">
          <cell r="D614" t="str">
            <v>A000419</v>
          </cell>
          <cell r="U614">
            <v>0</v>
          </cell>
          <cell r="AK614">
            <v>0</v>
          </cell>
          <cell r="AM614">
            <v>0</v>
          </cell>
        </row>
        <row r="615">
          <cell r="D615" t="str">
            <v>A000420</v>
          </cell>
          <cell r="U615">
            <v>0</v>
          </cell>
          <cell r="AK615">
            <v>0</v>
          </cell>
          <cell r="AM615">
            <v>0</v>
          </cell>
        </row>
        <row r="616">
          <cell r="D616" t="str">
            <v>A000421</v>
          </cell>
          <cell r="U616">
            <v>0</v>
          </cell>
          <cell r="AK616">
            <v>0</v>
          </cell>
          <cell r="AM616">
            <v>0</v>
          </cell>
        </row>
        <row r="617">
          <cell r="D617" t="str">
            <v>A000422</v>
          </cell>
          <cell r="U617">
            <v>0</v>
          </cell>
          <cell r="AK617">
            <v>0</v>
          </cell>
          <cell r="AM617">
            <v>0</v>
          </cell>
        </row>
        <row r="618">
          <cell r="D618" t="str">
            <v>A000423</v>
          </cell>
          <cell r="U618">
            <v>0</v>
          </cell>
          <cell r="AK618">
            <v>0</v>
          </cell>
          <cell r="AM618">
            <v>0</v>
          </cell>
        </row>
        <row r="619">
          <cell r="D619" t="str">
            <v>A000424</v>
          </cell>
          <cell r="U619">
            <v>0</v>
          </cell>
          <cell r="AK619">
            <v>0</v>
          </cell>
          <cell r="AM619">
            <v>0</v>
          </cell>
        </row>
        <row r="620">
          <cell r="D620" t="str">
            <v>A000425</v>
          </cell>
          <cell r="U620">
            <v>0</v>
          </cell>
          <cell r="AK620">
            <v>0</v>
          </cell>
          <cell r="AM620">
            <v>0</v>
          </cell>
        </row>
        <row r="621">
          <cell r="D621" t="str">
            <v>A000426</v>
          </cell>
          <cell r="U621">
            <v>0</v>
          </cell>
          <cell r="AK621">
            <v>0</v>
          </cell>
          <cell r="AM621">
            <v>0</v>
          </cell>
        </row>
        <row r="622">
          <cell r="D622" t="str">
            <v>A000427</v>
          </cell>
          <cell r="U622">
            <v>0</v>
          </cell>
          <cell r="AK622">
            <v>0</v>
          </cell>
          <cell r="AM622">
            <v>0</v>
          </cell>
        </row>
        <row r="623">
          <cell r="D623" t="str">
            <v>A000428</v>
          </cell>
          <cell r="U623">
            <v>0</v>
          </cell>
          <cell r="AK623">
            <v>0</v>
          </cell>
          <cell r="AM623">
            <v>0</v>
          </cell>
        </row>
        <row r="624">
          <cell r="D624" t="str">
            <v>A000429</v>
          </cell>
          <cell r="U624">
            <v>0</v>
          </cell>
          <cell r="AK624">
            <v>0</v>
          </cell>
          <cell r="AM624">
            <v>0</v>
          </cell>
        </row>
        <row r="625">
          <cell r="D625" t="str">
            <v>A000430</v>
          </cell>
          <cell r="U625">
            <v>0</v>
          </cell>
          <cell r="AK625">
            <v>0</v>
          </cell>
          <cell r="AM625">
            <v>0</v>
          </cell>
        </row>
        <row r="626">
          <cell r="D626" t="str">
            <v>A000431</v>
          </cell>
          <cell r="U626">
            <v>0</v>
          </cell>
          <cell r="AK626">
            <v>0</v>
          </cell>
          <cell r="AM626">
            <v>0</v>
          </cell>
        </row>
        <row r="627">
          <cell r="D627" t="str">
            <v>A000432</v>
          </cell>
          <cell r="U627">
            <v>0</v>
          </cell>
          <cell r="AK627">
            <v>0</v>
          </cell>
          <cell r="AM627">
            <v>0</v>
          </cell>
        </row>
        <row r="628">
          <cell r="D628" t="str">
            <v>A000433</v>
          </cell>
          <cell r="U628">
            <v>0</v>
          </cell>
          <cell r="AK628">
            <v>0</v>
          </cell>
          <cell r="AM628">
            <v>0</v>
          </cell>
        </row>
        <row r="629">
          <cell r="D629" t="str">
            <v>A000434</v>
          </cell>
          <cell r="U629">
            <v>0</v>
          </cell>
          <cell r="AK629">
            <v>0</v>
          </cell>
          <cell r="AM629">
            <v>0</v>
          </cell>
        </row>
        <row r="630">
          <cell r="D630" t="str">
            <v>A000435</v>
          </cell>
          <cell r="U630">
            <v>0</v>
          </cell>
          <cell r="AK630">
            <v>0</v>
          </cell>
          <cell r="AM630">
            <v>0</v>
          </cell>
        </row>
        <row r="631">
          <cell r="D631" t="str">
            <v>A000436</v>
          </cell>
          <cell r="U631">
            <v>0</v>
          </cell>
          <cell r="AK631">
            <v>0</v>
          </cell>
          <cell r="AM631">
            <v>0</v>
          </cell>
        </row>
        <row r="632">
          <cell r="D632" t="str">
            <v>A000437</v>
          </cell>
          <cell r="U632">
            <v>0</v>
          </cell>
          <cell r="AK632">
            <v>0</v>
          </cell>
          <cell r="AM632">
            <v>0</v>
          </cell>
        </row>
        <row r="633">
          <cell r="D633" t="str">
            <v>A000438</v>
          </cell>
          <cell r="U633">
            <v>0</v>
          </cell>
          <cell r="AK633">
            <v>0</v>
          </cell>
          <cell r="AM633">
            <v>0</v>
          </cell>
        </row>
        <row r="634">
          <cell r="D634" t="str">
            <v>A000439</v>
          </cell>
          <cell r="U634">
            <v>0</v>
          </cell>
          <cell r="AK634">
            <v>0</v>
          </cell>
          <cell r="AM634">
            <v>0</v>
          </cell>
        </row>
        <row r="635">
          <cell r="D635" t="str">
            <v>A000440</v>
          </cell>
          <cell r="U635">
            <v>0</v>
          </cell>
          <cell r="AK635">
            <v>0</v>
          </cell>
          <cell r="AM635">
            <v>0</v>
          </cell>
        </row>
        <row r="636">
          <cell r="D636" t="str">
            <v>A000441</v>
          </cell>
          <cell r="U636">
            <v>0</v>
          </cell>
          <cell r="AK636">
            <v>0</v>
          </cell>
          <cell r="AM636">
            <v>0</v>
          </cell>
        </row>
        <row r="637">
          <cell r="D637" t="str">
            <v>A000442</v>
          </cell>
          <cell r="U637">
            <v>0</v>
          </cell>
          <cell r="AK637">
            <v>0</v>
          </cell>
          <cell r="AM637">
            <v>0</v>
          </cell>
        </row>
        <row r="638">
          <cell r="D638" t="str">
            <v>A000443</v>
          </cell>
          <cell r="U638">
            <v>0</v>
          </cell>
          <cell r="AK638">
            <v>0</v>
          </cell>
          <cell r="AM638">
            <v>0</v>
          </cell>
        </row>
        <row r="639">
          <cell r="D639" t="str">
            <v>A000444</v>
          </cell>
          <cell r="U639">
            <v>0</v>
          </cell>
          <cell r="AK639">
            <v>0</v>
          </cell>
          <cell r="AM639">
            <v>0</v>
          </cell>
        </row>
        <row r="640">
          <cell r="D640" t="str">
            <v>A000445</v>
          </cell>
          <cell r="U640">
            <v>0</v>
          </cell>
          <cell r="AK640">
            <v>0</v>
          </cell>
          <cell r="AM640">
            <v>0</v>
          </cell>
        </row>
        <row r="641">
          <cell r="D641" t="str">
            <v>A000446</v>
          </cell>
          <cell r="U641">
            <v>0</v>
          </cell>
          <cell r="AK641">
            <v>0</v>
          </cell>
          <cell r="AM641">
            <v>0</v>
          </cell>
        </row>
        <row r="642">
          <cell r="D642" t="str">
            <v>A000447</v>
          </cell>
          <cell r="U642">
            <v>0</v>
          </cell>
          <cell r="AK642">
            <v>0</v>
          </cell>
          <cell r="AM642">
            <v>0</v>
          </cell>
        </row>
        <row r="643">
          <cell r="D643" t="str">
            <v>A000448</v>
          </cell>
          <cell r="U643">
            <v>0</v>
          </cell>
          <cell r="AK643">
            <v>0</v>
          </cell>
          <cell r="AM643">
            <v>0</v>
          </cell>
        </row>
        <row r="644">
          <cell r="D644" t="str">
            <v>A000449</v>
          </cell>
          <cell r="U644">
            <v>0</v>
          </cell>
          <cell r="AK644">
            <v>0</v>
          </cell>
          <cell r="AM644">
            <v>0</v>
          </cell>
        </row>
        <row r="645">
          <cell r="D645" t="str">
            <v>A000450</v>
          </cell>
          <cell r="U645">
            <v>0</v>
          </cell>
          <cell r="AK645">
            <v>0</v>
          </cell>
          <cell r="AM645">
            <v>0</v>
          </cell>
        </row>
        <row r="646">
          <cell r="D646" t="str">
            <v>A000451</v>
          </cell>
          <cell r="U646">
            <v>0</v>
          </cell>
          <cell r="AK646">
            <v>0</v>
          </cell>
          <cell r="AM646">
            <v>0</v>
          </cell>
        </row>
        <row r="647">
          <cell r="D647" t="str">
            <v>A000452</v>
          </cell>
          <cell r="U647">
            <v>0</v>
          </cell>
          <cell r="AK647">
            <v>0</v>
          </cell>
          <cell r="AM647">
            <v>0</v>
          </cell>
        </row>
        <row r="648">
          <cell r="D648" t="str">
            <v>A000453</v>
          </cell>
          <cell r="U648">
            <v>0</v>
          </cell>
          <cell r="AK648">
            <v>0</v>
          </cell>
          <cell r="AM648">
            <v>0</v>
          </cell>
        </row>
        <row r="649">
          <cell r="D649" t="str">
            <v>A000454</v>
          </cell>
          <cell r="U649">
            <v>0</v>
          </cell>
          <cell r="AK649">
            <v>0</v>
          </cell>
          <cell r="AM649">
            <v>0</v>
          </cell>
        </row>
        <row r="650">
          <cell r="D650" t="str">
            <v>A000455</v>
          </cell>
          <cell r="U650">
            <v>0</v>
          </cell>
          <cell r="AK650">
            <v>0</v>
          </cell>
          <cell r="AM650">
            <v>0</v>
          </cell>
        </row>
        <row r="651">
          <cell r="D651" t="str">
            <v>A000456</v>
          </cell>
          <cell r="U651">
            <v>0</v>
          </cell>
          <cell r="AK651">
            <v>0</v>
          </cell>
          <cell r="AM651">
            <v>0</v>
          </cell>
        </row>
        <row r="652">
          <cell r="D652" t="str">
            <v>A000457</v>
          </cell>
          <cell r="U652">
            <v>0</v>
          </cell>
          <cell r="AK652">
            <v>0</v>
          </cell>
          <cell r="AM652">
            <v>0</v>
          </cell>
        </row>
        <row r="653">
          <cell r="D653" t="str">
            <v>A000458</v>
          </cell>
          <cell r="U653">
            <v>0</v>
          </cell>
          <cell r="AK653">
            <v>0</v>
          </cell>
          <cell r="AM653">
            <v>0</v>
          </cell>
        </row>
        <row r="654">
          <cell r="D654" t="str">
            <v>A000459</v>
          </cell>
          <cell r="U654">
            <v>0</v>
          </cell>
          <cell r="AK654">
            <v>0</v>
          </cell>
          <cell r="AM654">
            <v>0</v>
          </cell>
        </row>
        <row r="655">
          <cell r="D655" t="str">
            <v>A000460</v>
          </cell>
          <cell r="U655">
            <v>0</v>
          </cell>
          <cell r="AK655">
            <v>0</v>
          </cell>
          <cell r="AM655">
            <v>0</v>
          </cell>
        </row>
        <row r="656">
          <cell r="D656" t="str">
            <v>A000461</v>
          </cell>
          <cell r="U656">
            <v>0</v>
          </cell>
          <cell r="AK656">
            <v>0</v>
          </cell>
          <cell r="AM656">
            <v>0</v>
          </cell>
        </row>
        <row r="657">
          <cell r="D657" t="str">
            <v>A000462</v>
          </cell>
          <cell r="U657">
            <v>0</v>
          </cell>
          <cell r="AK657">
            <v>0</v>
          </cell>
          <cell r="AM657">
            <v>0</v>
          </cell>
        </row>
        <row r="658">
          <cell r="D658" t="str">
            <v>A000463</v>
          </cell>
          <cell r="U658">
            <v>0</v>
          </cell>
          <cell r="AK658">
            <v>0</v>
          </cell>
          <cell r="AM658">
            <v>0</v>
          </cell>
        </row>
        <row r="659">
          <cell r="D659" t="str">
            <v>A000464</v>
          </cell>
          <cell r="U659">
            <v>0</v>
          </cell>
          <cell r="AK659">
            <v>0</v>
          </cell>
          <cell r="AM659">
            <v>0</v>
          </cell>
        </row>
        <row r="660">
          <cell r="D660" t="str">
            <v>A000465</v>
          </cell>
          <cell r="U660">
            <v>0</v>
          </cell>
          <cell r="AK660">
            <v>0</v>
          </cell>
          <cell r="AM660">
            <v>0</v>
          </cell>
        </row>
        <row r="661">
          <cell r="D661" t="str">
            <v>A000466</v>
          </cell>
          <cell r="U661">
            <v>0</v>
          </cell>
          <cell r="AK661">
            <v>0</v>
          </cell>
          <cell r="AM661">
            <v>0</v>
          </cell>
        </row>
        <row r="662">
          <cell r="D662" t="str">
            <v>A000467</v>
          </cell>
          <cell r="U662">
            <v>0</v>
          </cell>
          <cell r="AK662">
            <v>0</v>
          </cell>
          <cell r="AM662">
            <v>0</v>
          </cell>
        </row>
        <row r="663">
          <cell r="D663" t="str">
            <v>A000468</v>
          </cell>
          <cell r="U663">
            <v>0</v>
          </cell>
          <cell r="AK663">
            <v>0</v>
          </cell>
          <cell r="AM663">
            <v>0</v>
          </cell>
        </row>
        <row r="664">
          <cell r="D664" t="str">
            <v>A000469</v>
          </cell>
          <cell r="U664">
            <v>0</v>
          </cell>
          <cell r="AK664">
            <v>0</v>
          </cell>
          <cell r="AM664">
            <v>0</v>
          </cell>
        </row>
        <row r="665">
          <cell r="D665" t="str">
            <v>A000470</v>
          </cell>
          <cell r="U665">
            <v>0</v>
          </cell>
          <cell r="AK665">
            <v>0</v>
          </cell>
          <cell r="AM665">
            <v>0</v>
          </cell>
        </row>
        <row r="666">
          <cell r="D666" t="str">
            <v>A000471</v>
          </cell>
          <cell r="U666">
            <v>0</v>
          </cell>
          <cell r="AK666">
            <v>0</v>
          </cell>
          <cell r="AM666">
            <v>0</v>
          </cell>
        </row>
        <row r="667">
          <cell r="D667" t="str">
            <v>A000472</v>
          </cell>
          <cell r="U667">
            <v>0</v>
          </cell>
          <cell r="AK667">
            <v>0</v>
          </cell>
          <cell r="AM667">
            <v>0</v>
          </cell>
        </row>
        <row r="668">
          <cell r="D668" t="str">
            <v>A000473</v>
          </cell>
          <cell r="U668">
            <v>0</v>
          </cell>
          <cell r="AK668">
            <v>0</v>
          </cell>
          <cell r="AM668">
            <v>0</v>
          </cell>
        </row>
        <row r="669">
          <cell r="D669" t="str">
            <v>A000474</v>
          </cell>
          <cell r="U669">
            <v>0</v>
          </cell>
          <cell r="AK669">
            <v>0</v>
          </cell>
          <cell r="AM669">
            <v>0</v>
          </cell>
        </row>
        <row r="670">
          <cell r="D670" t="str">
            <v>A000475</v>
          </cell>
          <cell r="U670">
            <v>0</v>
          </cell>
          <cell r="AK670">
            <v>0</v>
          </cell>
          <cell r="AM670">
            <v>0</v>
          </cell>
        </row>
        <row r="671">
          <cell r="D671" t="str">
            <v>A000476</v>
          </cell>
          <cell r="U671">
            <v>0</v>
          </cell>
          <cell r="AK671">
            <v>0</v>
          </cell>
          <cell r="AM671">
            <v>0</v>
          </cell>
        </row>
        <row r="672">
          <cell r="D672" t="str">
            <v>A000477</v>
          </cell>
          <cell r="U672">
            <v>0</v>
          </cell>
          <cell r="AK672">
            <v>0</v>
          </cell>
          <cell r="AM672">
            <v>0</v>
          </cell>
        </row>
        <row r="673">
          <cell r="D673" t="str">
            <v>A000478</v>
          </cell>
          <cell r="U673">
            <v>0</v>
          </cell>
          <cell r="AK673">
            <v>0</v>
          </cell>
          <cell r="AM673">
            <v>0</v>
          </cell>
        </row>
        <row r="674">
          <cell r="D674" t="str">
            <v>A000479</v>
          </cell>
          <cell r="U674">
            <v>0</v>
          </cell>
          <cell r="AK674">
            <v>0</v>
          </cell>
          <cell r="AM674">
            <v>0</v>
          </cell>
        </row>
        <row r="675">
          <cell r="D675" t="str">
            <v>A000480</v>
          </cell>
          <cell r="U675">
            <v>0</v>
          </cell>
          <cell r="AK675">
            <v>0</v>
          </cell>
          <cell r="AM675">
            <v>0</v>
          </cell>
        </row>
        <row r="676">
          <cell r="D676" t="str">
            <v>A000481</v>
          </cell>
          <cell r="U676">
            <v>0</v>
          </cell>
          <cell r="AK676">
            <v>0</v>
          </cell>
          <cell r="AM676">
            <v>0</v>
          </cell>
        </row>
        <row r="677">
          <cell r="D677" t="str">
            <v>A000482</v>
          </cell>
          <cell r="U677">
            <v>0</v>
          </cell>
          <cell r="AK677">
            <v>0</v>
          </cell>
          <cell r="AM677">
            <v>0</v>
          </cell>
        </row>
        <row r="678">
          <cell r="D678" t="str">
            <v>A000483</v>
          </cell>
          <cell r="U678">
            <v>0</v>
          </cell>
          <cell r="AK678">
            <v>0</v>
          </cell>
          <cell r="AM678">
            <v>0</v>
          </cell>
        </row>
        <row r="679">
          <cell r="D679" t="str">
            <v>A000484</v>
          </cell>
          <cell r="U679">
            <v>0</v>
          </cell>
          <cell r="AK679">
            <v>0</v>
          </cell>
          <cell r="AM679">
            <v>0</v>
          </cell>
        </row>
        <row r="680">
          <cell r="D680" t="str">
            <v>A000485</v>
          </cell>
          <cell r="U680">
            <v>0</v>
          </cell>
          <cell r="AK680">
            <v>0</v>
          </cell>
          <cell r="AM680">
            <v>0</v>
          </cell>
        </row>
        <row r="681">
          <cell r="D681" t="str">
            <v>A000486</v>
          </cell>
          <cell r="U681">
            <v>0</v>
          </cell>
          <cell r="AK681">
            <v>0</v>
          </cell>
          <cell r="AM681">
            <v>0</v>
          </cell>
        </row>
        <row r="682">
          <cell r="D682" t="str">
            <v>A000487</v>
          </cell>
          <cell r="U682">
            <v>0</v>
          </cell>
          <cell r="AK682">
            <v>0</v>
          </cell>
          <cell r="AM682">
            <v>0</v>
          </cell>
        </row>
        <row r="683">
          <cell r="D683" t="str">
            <v>A000488</v>
          </cell>
          <cell r="U683">
            <v>0</v>
          </cell>
          <cell r="AK683">
            <v>0</v>
          </cell>
          <cell r="AM683">
            <v>0</v>
          </cell>
        </row>
        <row r="684">
          <cell r="D684" t="str">
            <v>A000489</v>
          </cell>
          <cell r="U684">
            <v>0</v>
          </cell>
          <cell r="AK684">
            <v>0</v>
          </cell>
          <cell r="AM684">
            <v>0</v>
          </cell>
        </row>
        <row r="685">
          <cell r="D685" t="str">
            <v>A000490</v>
          </cell>
          <cell r="U685">
            <v>0</v>
          </cell>
          <cell r="AK685">
            <v>0</v>
          </cell>
          <cell r="AM685">
            <v>0</v>
          </cell>
        </row>
        <row r="686">
          <cell r="D686" t="str">
            <v>A000491</v>
          </cell>
          <cell r="U686">
            <v>0</v>
          </cell>
          <cell r="AK686">
            <v>0</v>
          </cell>
          <cell r="AM686">
            <v>0</v>
          </cell>
        </row>
        <row r="687">
          <cell r="D687" t="str">
            <v>A000492</v>
          </cell>
          <cell r="U687">
            <v>0</v>
          </cell>
          <cell r="AK687">
            <v>0</v>
          </cell>
          <cell r="AM687">
            <v>0</v>
          </cell>
        </row>
        <row r="688">
          <cell r="D688" t="str">
            <v>A000493</v>
          </cell>
          <cell r="U688">
            <v>0</v>
          </cell>
          <cell r="AK688">
            <v>0</v>
          </cell>
          <cell r="AM688">
            <v>0</v>
          </cell>
        </row>
        <row r="689">
          <cell r="D689" t="str">
            <v>A000494</v>
          </cell>
          <cell r="U689">
            <v>0</v>
          </cell>
          <cell r="AK689">
            <v>0</v>
          </cell>
          <cell r="AM689">
            <v>0</v>
          </cell>
        </row>
        <row r="690">
          <cell r="D690" t="str">
            <v>A000495</v>
          </cell>
          <cell r="U690">
            <v>0</v>
          </cell>
          <cell r="AK690">
            <v>0</v>
          </cell>
          <cell r="AM690">
            <v>0</v>
          </cell>
        </row>
        <row r="691">
          <cell r="D691" t="str">
            <v>A000496</v>
          </cell>
          <cell r="U691">
            <v>0</v>
          </cell>
          <cell r="AK691">
            <v>0</v>
          </cell>
          <cell r="AM691">
            <v>0</v>
          </cell>
        </row>
        <row r="692">
          <cell r="D692" t="str">
            <v>A000497</v>
          </cell>
          <cell r="U692">
            <v>0</v>
          </cell>
          <cell r="AK692">
            <v>0</v>
          </cell>
          <cell r="AM692">
            <v>0</v>
          </cell>
        </row>
        <row r="693">
          <cell r="D693" t="str">
            <v>A000498</v>
          </cell>
          <cell r="U693">
            <v>0</v>
          </cell>
          <cell r="AK693">
            <v>0</v>
          </cell>
          <cell r="AM693">
            <v>0</v>
          </cell>
        </row>
        <row r="694">
          <cell r="D694" t="str">
            <v>A000499</v>
          </cell>
          <cell r="U694">
            <v>0</v>
          </cell>
          <cell r="AK694">
            <v>0</v>
          </cell>
          <cell r="AM694">
            <v>0</v>
          </cell>
        </row>
        <row r="695">
          <cell r="D695" t="str">
            <v>A000500</v>
          </cell>
          <cell r="U695">
            <v>0</v>
          </cell>
          <cell r="AK695">
            <v>0</v>
          </cell>
          <cell r="AM695">
            <v>0</v>
          </cell>
        </row>
        <row r="696">
          <cell r="D696" t="str">
            <v>A000501</v>
          </cell>
          <cell r="U696">
            <v>0</v>
          </cell>
          <cell r="AK696">
            <v>0</v>
          </cell>
          <cell r="AM696">
            <v>0</v>
          </cell>
        </row>
        <row r="697">
          <cell r="D697" t="str">
            <v>A000502</v>
          </cell>
          <cell r="U697">
            <v>0</v>
          </cell>
          <cell r="AK697">
            <v>0</v>
          </cell>
          <cell r="AM697">
            <v>0</v>
          </cell>
        </row>
        <row r="698">
          <cell r="D698" t="str">
            <v>A000503</v>
          </cell>
          <cell r="U698">
            <v>0</v>
          </cell>
          <cell r="AK698">
            <v>0</v>
          </cell>
          <cell r="AM698">
            <v>0</v>
          </cell>
        </row>
        <row r="699">
          <cell r="D699" t="str">
            <v>A000504</v>
          </cell>
          <cell r="U699">
            <v>0</v>
          </cell>
          <cell r="AK699">
            <v>0</v>
          </cell>
          <cell r="AM699">
            <v>0</v>
          </cell>
        </row>
        <row r="700">
          <cell r="D700" t="str">
            <v>A000505</v>
          </cell>
          <cell r="U700">
            <v>0</v>
          </cell>
          <cell r="AK700">
            <v>0</v>
          </cell>
          <cell r="AM700">
            <v>0</v>
          </cell>
        </row>
        <row r="701">
          <cell r="D701" t="str">
            <v>A000506</v>
          </cell>
          <cell r="U701">
            <v>0</v>
          </cell>
          <cell r="AK701">
            <v>0</v>
          </cell>
          <cell r="AM701">
            <v>0</v>
          </cell>
        </row>
        <row r="702">
          <cell r="D702" t="str">
            <v>A000507</v>
          </cell>
          <cell r="U702">
            <v>0</v>
          </cell>
          <cell r="AK702">
            <v>0</v>
          </cell>
          <cell r="AM702">
            <v>0</v>
          </cell>
        </row>
        <row r="703">
          <cell r="D703" t="str">
            <v>A000508</v>
          </cell>
          <cell r="U703">
            <v>0</v>
          </cell>
          <cell r="AK703">
            <v>0</v>
          </cell>
          <cell r="AM703">
            <v>0</v>
          </cell>
        </row>
        <row r="704">
          <cell r="D704" t="str">
            <v>A000509</v>
          </cell>
          <cell r="U704">
            <v>0</v>
          </cell>
          <cell r="AK704">
            <v>0</v>
          </cell>
          <cell r="AM704">
            <v>0</v>
          </cell>
        </row>
        <row r="705">
          <cell r="D705" t="str">
            <v>A000510</v>
          </cell>
          <cell r="U705">
            <v>0</v>
          </cell>
          <cell r="AK705">
            <v>0</v>
          </cell>
          <cell r="AM705">
            <v>0</v>
          </cell>
        </row>
        <row r="706">
          <cell r="D706" t="str">
            <v>A000511</v>
          </cell>
          <cell r="U706">
            <v>0</v>
          </cell>
          <cell r="AK706">
            <v>0</v>
          </cell>
          <cell r="AM706">
            <v>0</v>
          </cell>
        </row>
        <row r="707">
          <cell r="D707" t="str">
            <v>A000512</v>
          </cell>
          <cell r="U707">
            <v>0</v>
          </cell>
          <cell r="AK707">
            <v>0</v>
          </cell>
          <cell r="AM707">
            <v>0</v>
          </cell>
        </row>
        <row r="708">
          <cell r="D708" t="str">
            <v>A000513</v>
          </cell>
          <cell r="U708">
            <v>0</v>
          </cell>
          <cell r="AK708">
            <v>0</v>
          </cell>
          <cell r="AM708">
            <v>0</v>
          </cell>
        </row>
        <row r="709">
          <cell r="D709" t="str">
            <v>A000514</v>
          </cell>
          <cell r="U709">
            <v>0</v>
          </cell>
          <cell r="AK709">
            <v>0</v>
          </cell>
          <cell r="AM709">
            <v>0</v>
          </cell>
        </row>
        <row r="710">
          <cell r="D710" t="str">
            <v>A000515</v>
          </cell>
          <cell r="U710">
            <v>0</v>
          </cell>
          <cell r="AK710">
            <v>0</v>
          </cell>
          <cell r="AM710">
            <v>0</v>
          </cell>
        </row>
        <row r="711">
          <cell r="D711" t="str">
            <v>A000516</v>
          </cell>
          <cell r="U711">
            <v>0</v>
          </cell>
          <cell r="AK711">
            <v>0</v>
          </cell>
          <cell r="AM711">
            <v>0</v>
          </cell>
        </row>
        <row r="712">
          <cell r="D712" t="str">
            <v>A000517</v>
          </cell>
          <cell r="U712">
            <v>0</v>
          </cell>
          <cell r="AK712">
            <v>0</v>
          </cell>
          <cell r="AM712">
            <v>0</v>
          </cell>
        </row>
        <row r="713">
          <cell r="D713" t="str">
            <v>A000518</v>
          </cell>
          <cell r="U713">
            <v>0</v>
          </cell>
          <cell r="AK713">
            <v>0</v>
          </cell>
          <cell r="AM713">
            <v>0</v>
          </cell>
        </row>
        <row r="714">
          <cell r="D714" t="str">
            <v>A000519</v>
          </cell>
          <cell r="U714">
            <v>0</v>
          </cell>
          <cell r="AK714">
            <v>0</v>
          </cell>
          <cell r="AM714">
            <v>0</v>
          </cell>
        </row>
        <row r="715">
          <cell r="D715" t="str">
            <v>A000520</v>
          </cell>
          <cell r="U715">
            <v>0</v>
          </cell>
          <cell r="AK715">
            <v>0</v>
          </cell>
          <cell r="AM715">
            <v>0</v>
          </cell>
        </row>
        <row r="716">
          <cell r="D716" t="str">
            <v>A000521</v>
          </cell>
          <cell r="U716">
            <v>0</v>
          </cell>
          <cell r="AK716">
            <v>0</v>
          </cell>
          <cell r="AM716">
            <v>0</v>
          </cell>
        </row>
        <row r="717">
          <cell r="D717" t="str">
            <v>A000522</v>
          </cell>
          <cell r="U717">
            <v>0</v>
          </cell>
          <cell r="AK717">
            <v>0</v>
          </cell>
          <cell r="AM717">
            <v>0</v>
          </cell>
        </row>
        <row r="718">
          <cell r="D718" t="str">
            <v>A000523</v>
          </cell>
          <cell r="U718">
            <v>0</v>
          </cell>
          <cell r="AK718">
            <v>0</v>
          </cell>
          <cell r="AM718">
            <v>0</v>
          </cell>
        </row>
        <row r="719">
          <cell r="D719" t="str">
            <v>A000524</v>
          </cell>
          <cell r="U719">
            <v>0</v>
          </cell>
          <cell r="AK719">
            <v>0</v>
          </cell>
          <cell r="AM719">
            <v>0</v>
          </cell>
        </row>
        <row r="720">
          <cell r="D720" t="str">
            <v>A000525</v>
          </cell>
          <cell r="U720">
            <v>0</v>
          </cell>
          <cell r="AK720">
            <v>0</v>
          </cell>
          <cell r="AM720">
            <v>0</v>
          </cell>
        </row>
        <row r="721">
          <cell r="D721" t="str">
            <v>A000526</v>
          </cell>
          <cell r="U721">
            <v>0</v>
          </cell>
          <cell r="AK721">
            <v>0</v>
          </cell>
          <cell r="AM721">
            <v>0</v>
          </cell>
        </row>
        <row r="722">
          <cell r="D722" t="str">
            <v>A000527</v>
          </cell>
          <cell r="U722">
            <v>0</v>
          </cell>
          <cell r="AK722">
            <v>0</v>
          </cell>
          <cell r="AM722">
            <v>0</v>
          </cell>
        </row>
        <row r="723">
          <cell r="D723" t="str">
            <v>A000528</v>
          </cell>
          <cell r="U723">
            <v>0</v>
          </cell>
          <cell r="AK723">
            <v>0</v>
          </cell>
          <cell r="AM723">
            <v>0</v>
          </cell>
        </row>
        <row r="724">
          <cell r="D724" t="str">
            <v>A000529</v>
          </cell>
          <cell r="U724">
            <v>0</v>
          </cell>
          <cell r="AK724">
            <v>0</v>
          </cell>
          <cell r="AM724">
            <v>0</v>
          </cell>
        </row>
        <row r="725">
          <cell r="D725" t="str">
            <v>A000530</v>
          </cell>
          <cell r="U725">
            <v>0</v>
          </cell>
          <cell r="AK725">
            <v>0</v>
          </cell>
          <cell r="AM725">
            <v>0</v>
          </cell>
        </row>
        <row r="726">
          <cell r="D726" t="str">
            <v>A000531</v>
          </cell>
          <cell r="U726">
            <v>0</v>
          </cell>
          <cell r="AK726">
            <v>0</v>
          </cell>
          <cell r="AM726">
            <v>0</v>
          </cell>
        </row>
        <row r="727">
          <cell r="D727" t="str">
            <v>A000532</v>
          </cell>
          <cell r="U727">
            <v>0</v>
          </cell>
          <cell r="AK727">
            <v>0</v>
          </cell>
          <cell r="AM727">
            <v>0</v>
          </cell>
        </row>
        <row r="728">
          <cell r="D728" t="str">
            <v>A000533</v>
          </cell>
          <cell r="U728">
            <v>0</v>
          </cell>
          <cell r="AK728">
            <v>0</v>
          </cell>
          <cell r="AM728">
            <v>0</v>
          </cell>
        </row>
        <row r="729">
          <cell r="D729" t="str">
            <v>A000534</v>
          </cell>
          <cell r="U729">
            <v>0</v>
          </cell>
          <cell r="AK729">
            <v>0</v>
          </cell>
          <cell r="AM729">
            <v>0</v>
          </cell>
        </row>
        <row r="730">
          <cell r="D730" t="str">
            <v>A000535</v>
          </cell>
          <cell r="U730">
            <v>0</v>
          </cell>
          <cell r="AK730">
            <v>0</v>
          </cell>
          <cell r="AM730">
            <v>0</v>
          </cell>
        </row>
        <row r="731">
          <cell r="D731" t="str">
            <v>A000536</v>
          </cell>
          <cell r="U731">
            <v>0</v>
          </cell>
          <cell r="AK731">
            <v>0</v>
          </cell>
          <cell r="AM731">
            <v>0</v>
          </cell>
        </row>
        <row r="732">
          <cell r="D732" t="str">
            <v>A000537</v>
          </cell>
          <cell r="U732">
            <v>0</v>
          </cell>
          <cell r="AK732">
            <v>0</v>
          </cell>
          <cell r="AM732">
            <v>0</v>
          </cell>
        </row>
        <row r="733">
          <cell r="D733" t="str">
            <v>A000538</v>
          </cell>
          <cell r="U733">
            <v>0</v>
          </cell>
          <cell r="AK733">
            <v>0</v>
          </cell>
          <cell r="AM733">
            <v>0</v>
          </cell>
        </row>
        <row r="734">
          <cell r="D734" t="str">
            <v>A000539</v>
          </cell>
          <cell r="U734">
            <v>0</v>
          </cell>
          <cell r="AK734">
            <v>0</v>
          </cell>
          <cell r="AM734">
            <v>0</v>
          </cell>
        </row>
        <row r="735">
          <cell r="D735" t="str">
            <v>A000540</v>
          </cell>
          <cell r="U735">
            <v>0</v>
          </cell>
          <cell r="AK735">
            <v>0</v>
          </cell>
          <cell r="AM735">
            <v>0</v>
          </cell>
        </row>
        <row r="736">
          <cell r="D736" t="str">
            <v>A000541</v>
          </cell>
          <cell r="U736">
            <v>0</v>
          </cell>
          <cell r="AK736">
            <v>0</v>
          </cell>
          <cell r="AM736">
            <v>0</v>
          </cell>
        </row>
        <row r="737">
          <cell r="D737" t="str">
            <v>A000542</v>
          </cell>
          <cell r="U737">
            <v>0</v>
          </cell>
          <cell r="AK737">
            <v>0</v>
          </cell>
          <cell r="AM737">
            <v>0</v>
          </cell>
        </row>
        <row r="738">
          <cell r="D738" t="str">
            <v>A000543</v>
          </cell>
          <cell r="U738">
            <v>0</v>
          </cell>
          <cell r="AK738">
            <v>0</v>
          </cell>
          <cell r="AM738">
            <v>0</v>
          </cell>
        </row>
        <row r="739">
          <cell r="D739" t="str">
            <v>A000544</v>
          </cell>
          <cell r="U739">
            <v>0</v>
          </cell>
          <cell r="AK739">
            <v>0</v>
          </cell>
          <cell r="AM739">
            <v>0</v>
          </cell>
        </row>
        <row r="740">
          <cell r="D740" t="str">
            <v>A000545</v>
          </cell>
          <cell r="U740">
            <v>0</v>
          </cell>
          <cell r="AK740">
            <v>0</v>
          </cell>
          <cell r="AM740">
            <v>0</v>
          </cell>
        </row>
        <row r="741">
          <cell r="D741" t="str">
            <v>A000546</v>
          </cell>
          <cell r="U741">
            <v>0</v>
          </cell>
          <cell r="AK741">
            <v>0</v>
          </cell>
          <cell r="AM741">
            <v>0</v>
          </cell>
        </row>
        <row r="742">
          <cell r="D742" t="str">
            <v>A000547</v>
          </cell>
          <cell r="U742">
            <v>0</v>
          </cell>
          <cell r="AK742">
            <v>0</v>
          </cell>
          <cell r="AM742">
            <v>0</v>
          </cell>
        </row>
        <row r="743">
          <cell r="D743" t="str">
            <v>A000548</v>
          </cell>
          <cell r="U743">
            <v>0</v>
          </cell>
          <cell r="AK743">
            <v>0</v>
          </cell>
          <cell r="AM743">
            <v>0</v>
          </cell>
        </row>
        <row r="744">
          <cell r="D744" t="str">
            <v>A000549</v>
          </cell>
          <cell r="U744">
            <v>0</v>
          </cell>
          <cell r="AK744">
            <v>0</v>
          </cell>
          <cell r="AM744">
            <v>0</v>
          </cell>
        </row>
        <row r="745">
          <cell r="D745" t="str">
            <v>A000550</v>
          </cell>
          <cell r="U745">
            <v>0</v>
          </cell>
          <cell r="AK745">
            <v>0</v>
          </cell>
          <cell r="AM745">
            <v>0</v>
          </cell>
        </row>
        <row r="746">
          <cell r="D746" t="str">
            <v>A000551</v>
          </cell>
          <cell r="U746">
            <v>0</v>
          </cell>
          <cell r="AK746">
            <v>0</v>
          </cell>
          <cell r="AM746">
            <v>0</v>
          </cell>
        </row>
        <row r="747">
          <cell r="D747" t="str">
            <v>A000552</v>
          </cell>
          <cell r="U747">
            <v>0</v>
          </cell>
          <cell r="AK747">
            <v>0</v>
          </cell>
          <cell r="AM747">
            <v>0</v>
          </cell>
        </row>
        <row r="748">
          <cell r="D748" t="str">
            <v>A000553</v>
          </cell>
          <cell r="U748">
            <v>0</v>
          </cell>
          <cell r="AK748">
            <v>0</v>
          </cell>
          <cell r="AM748">
            <v>0</v>
          </cell>
        </row>
        <row r="749">
          <cell r="D749" t="str">
            <v>A000554</v>
          </cell>
          <cell r="U749">
            <v>0</v>
          </cell>
          <cell r="AK749">
            <v>0</v>
          </cell>
          <cell r="AM749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3"/>
  <sheetViews>
    <sheetView view="pageBreakPreview" zoomScale="40" zoomScaleSheetLayoutView="40" workbookViewId="0">
      <pane xSplit="2" topLeftCell="C1" activePane="topRight" state="frozen"/>
      <selection pane="topRight" activeCell="B47" sqref="B47"/>
    </sheetView>
  </sheetViews>
  <sheetFormatPr defaultColWidth="26.44140625" defaultRowHeight="14.4" x14ac:dyDescent="0.3"/>
  <cols>
    <col min="2" max="2" width="33" bestFit="1" customWidth="1"/>
    <col min="3" max="3" width="13.88671875" customWidth="1"/>
    <col min="10" max="10" width="15.44140625" customWidth="1"/>
  </cols>
  <sheetData>
    <row r="1" spans="1:11" ht="25.8" x14ac:dyDescent="0.5">
      <c r="A1" s="1" t="s">
        <v>0</v>
      </c>
      <c r="B1" s="2" t="s">
        <v>178</v>
      </c>
    </row>
    <row r="2" spans="1:11" ht="25.8" x14ac:dyDescent="0.5">
      <c r="A2" s="1" t="s">
        <v>1</v>
      </c>
      <c r="B2" s="2" t="s">
        <v>321</v>
      </c>
    </row>
    <row r="3" spans="1:11" ht="23.4" customHeight="1" x14ac:dyDescent="0.3">
      <c r="A3" s="44" t="s">
        <v>2</v>
      </c>
      <c r="B3" s="44" t="s">
        <v>3</v>
      </c>
      <c r="C3" s="10"/>
      <c r="D3" s="45" t="s">
        <v>158</v>
      </c>
      <c r="E3" s="46" t="s">
        <v>809</v>
      </c>
      <c r="F3" s="47" t="s">
        <v>810</v>
      </c>
      <c r="G3" s="46" t="s">
        <v>256</v>
      </c>
      <c r="H3" s="47" t="s">
        <v>160</v>
      </c>
      <c r="I3" s="46" t="s">
        <v>811</v>
      </c>
      <c r="J3" s="10"/>
      <c r="K3" s="48" t="s">
        <v>4</v>
      </c>
    </row>
    <row r="4" spans="1:11" ht="29.1" customHeight="1" x14ac:dyDescent="0.3">
      <c r="A4" s="44"/>
      <c r="B4" s="44"/>
      <c r="C4" s="10"/>
      <c r="D4" s="49"/>
      <c r="E4" s="46"/>
      <c r="F4" s="47"/>
      <c r="G4" s="46"/>
      <c r="H4" s="47"/>
      <c r="I4" s="46"/>
      <c r="J4" s="10"/>
      <c r="K4" s="48"/>
    </row>
    <row r="5" spans="1:11" ht="18" x14ac:dyDescent="0.35">
      <c r="A5" s="19" t="s">
        <v>128</v>
      </c>
      <c r="B5" s="20" t="s">
        <v>267</v>
      </c>
      <c r="D5" s="41">
        <v>0</v>
      </c>
      <c r="E5" s="24">
        <v>0</v>
      </c>
      <c r="F5" s="25">
        <v>0</v>
      </c>
      <c r="G5" s="26">
        <v>0</v>
      </c>
      <c r="H5" s="25">
        <v>0</v>
      </c>
      <c r="I5" s="26">
        <v>0</v>
      </c>
      <c r="K5" s="30">
        <f>D5+E5+(F5*3)+G5+H5+I5*3/8</f>
        <v>0</v>
      </c>
    </row>
    <row r="6" spans="1:11" ht="18" x14ac:dyDescent="0.35">
      <c r="A6" s="19" t="s">
        <v>609</v>
      </c>
      <c r="B6" s="20" t="s">
        <v>774</v>
      </c>
      <c r="D6" s="41">
        <v>11</v>
      </c>
      <c r="E6" s="40">
        <v>5</v>
      </c>
      <c r="F6" s="41">
        <v>22.5</v>
      </c>
      <c r="G6" s="42">
        <v>9</v>
      </c>
      <c r="H6" s="41">
        <v>8</v>
      </c>
      <c r="I6" s="42">
        <v>20.25</v>
      </c>
      <c r="K6" s="30">
        <f t="shared" ref="K6:K16" si="0">D6+E6+(F6*3)+G6+H6+I6*3/8</f>
        <v>108.09375</v>
      </c>
    </row>
    <row r="7" spans="1:11" ht="18" x14ac:dyDescent="0.35">
      <c r="A7" s="19" t="s">
        <v>604</v>
      </c>
      <c r="B7" s="20" t="s">
        <v>760</v>
      </c>
      <c r="D7" s="41">
        <v>8</v>
      </c>
      <c r="E7" s="40">
        <v>5</v>
      </c>
      <c r="F7" s="41">
        <v>24</v>
      </c>
      <c r="G7" s="42">
        <v>9</v>
      </c>
      <c r="H7" s="41">
        <v>8</v>
      </c>
      <c r="I7" s="42">
        <v>28.125</v>
      </c>
      <c r="K7" s="30">
        <f t="shared" si="0"/>
        <v>112.546875</v>
      </c>
    </row>
    <row r="8" spans="1:11" ht="18" x14ac:dyDescent="0.35">
      <c r="A8" s="19" t="s">
        <v>794</v>
      </c>
      <c r="B8" s="20" t="s">
        <v>795</v>
      </c>
      <c r="D8" s="41">
        <v>12.5</v>
      </c>
      <c r="E8" s="40">
        <v>5</v>
      </c>
      <c r="F8" s="41">
        <v>22.5</v>
      </c>
      <c r="G8" s="42">
        <v>9</v>
      </c>
      <c r="H8" s="41">
        <v>8</v>
      </c>
      <c r="I8" s="42">
        <v>25.5</v>
      </c>
      <c r="K8" s="30">
        <f t="shared" si="0"/>
        <v>111.5625</v>
      </c>
    </row>
    <row r="9" spans="1:11" ht="18" x14ac:dyDescent="0.35">
      <c r="A9" s="19" t="s">
        <v>611</v>
      </c>
      <c r="B9" s="20" t="s">
        <v>782</v>
      </c>
      <c r="D9" s="41">
        <v>11.5</v>
      </c>
      <c r="E9" s="40">
        <v>5</v>
      </c>
      <c r="F9" s="41">
        <v>16.5</v>
      </c>
      <c r="G9" s="42">
        <v>7</v>
      </c>
      <c r="H9" s="41">
        <v>4</v>
      </c>
      <c r="I9" s="42">
        <v>20.25</v>
      </c>
      <c r="K9" s="30">
        <f t="shared" si="0"/>
        <v>84.59375</v>
      </c>
    </row>
    <row r="10" spans="1:11" ht="18" x14ac:dyDescent="0.35">
      <c r="A10" s="19" t="s">
        <v>796</v>
      </c>
      <c r="B10" s="20" t="s">
        <v>797</v>
      </c>
      <c r="D10" s="41">
        <v>13.5</v>
      </c>
      <c r="E10" s="40">
        <v>5</v>
      </c>
      <c r="F10" s="41">
        <v>21</v>
      </c>
      <c r="G10" s="42">
        <v>8</v>
      </c>
      <c r="H10" s="41">
        <v>8</v>
      </c>
      <c r="I10" s="42">
        <v>26.625</v>
      </c>
      <c r="K10" s="30">
        <f t="shared" si="0"/>
        <v>107.484375</v>
      </c>
    </row>
    <row r="11" spans="1:11" ht="18" x14ac:dyDescent="0.35">
      <c r="A11" s="19" t="s">
        <v>333</v>
      </c>
      <c r="B11" s="20" t="s">
        <v>334</v>
      </c>
      <c r="D11" s="41">
        <v>12</v>
      </c>
      <c r="E11" s="40">
        <v>5</v>
      </c>
      <c r="F11" s="41">
        <v>21</v>
      </c>
      <c r="G11" s="42">
        <v>9</v>
      </c>
      <c r="H11" s="41">
        <v>7</v>
      </c>
      <c r="I11" s="42">
        <v>28.875</v>
      </c>
      <c r="K11" s="30">
        <f t="shared" si="0"/>
        <v>106.828125</v>
      </c>
    </row>
    <row r="12" spans="1:11" ht="18" x14ac:dyDescent="0.35">
      <c r="A12" s="19" t="s">
        <v>148</v>
      </c>
      <c r="B12" s="20" t="s">
        <v>190</v>
      </c>
      <c r="D12" s="41">
        <v>0</v>
      </c>
      <c r="E12" s="40">
        <v>0</v>
      </c>
      <c r="F12" s="41">
        <v>0</v>
      </c>
      <c r="G12" s="42">
        <v>0</v>
      </c>
      <c r="H12" s="41">
        <v>0</v>
      </c>
      <c r="I12" s="42">
        <v>0</v>
      </c>
      <c r="K12" s="30">
        <f t="shared" si="0"/>
        <v>0</v>
      </c>
    </row>
    <row r="13" spans="1:11" ht="18" x14ac:dyDescent="0.35">
      <c r="A13" s="19" t="s">
        <v>331</v>
      </c>
      <c r="B13" s="20" t="s">
        <v>767</v>
      </c>
      <c r="D13" s="41">
        <v>8.5</v>
      </c>
      <c r="E13" s="40">
        <v>4</v>
      </c>
      <c r="F13" s="41">
        <v>21</v>
      </c>
      <c r="G13" s="42">
        <v>7</v>
      </c>
      <c r="H13" s="41">
        <v>5</v>
      </c>
      <c r="I13" s="42">
        <v>18.75</v>
      </c>
      <c r="K13" s="30">
        <f t="shared" si="0"/>
        <v>94.53125</v>
      </c>
    </row>
    <row r="14" spans="1:11" ht="18" x14ac:dyDescent="0.35">
      <c r="A14" s="19" t="s">
        <v>339</v>
      </c>
      <c r="B14" s="20" t="s">
        <v>340</v>
      </c>
      <c r="D14" s="41">
        <v>12</v>
      </c>
      <c r="E14" s="40">
        <v>5</v>
      </c>
      <c r="F14" s="41">
        <v>18</v>
      </c>
      <c r="G14" s="42">
        <v>9</v>
      </c>
      <c r="H14" s="41">
        <v>7</v>
      </c>
      <c r="I14" s="42">
        <v>25.5</v>
      </c>
      <c r="K14" s="30">
        <f t="shared" si="0"/>
        <v>96.5625</v>
      </c>
    </row>
    <row r="15" spans="1:11" ht="18" x14ac:dyDescent="0.35">
      <c r="A15" s="19" t="s">
        <v>329</v>
      </c>
      <c r="B15" s="20" t="s">
        <v>776</v>
      </c>
      <c r="D15" s="41">
        <v>10.5</v>
      </c>
      <c r="E15" s="40">
        <v>4.5</v>
      </c>
      <c r="F15" s="41">
        <v>24</v>
      </c>
      <c r="G15" s="42">
        <v>9</v>
      </c>
      <c r="H15" s="41">
        <v>8</v>
      </c>
      <c r="I15" s="42">
        <v>19.125</v>
      </c>
      <c r="K15" s="30">
        <f t="shared" si="0"/>
        <v>111.171875</v>
      </c>
    </row>
    <row r="16" spans="1:11" ht="18" x14ac:dyDescent="0.35">
      <c r="A16" s="19" t="s">
        <v>594</v>
      </c>
      <c r="B16" s="20" t="s">
        <v>746</v>
      </c>
      <c r="D16" s="41">
        <v>10</v>
      </c>
      <c r="E16" s="40">
        <v>4.5</v>
      </c>
      <c r="F16" s="41">
        <v>21</v>
      </c>
      <c r="G16" s="42">
        <v>9</v>
      </c>
      <c r="H16" s="41">
        <v>9</v>
      </c>
      <c r="I16" s="42">
        <v>19.875</v>
      </c>
      <c r="K16" s="30">
        <f t="shared" si="0"/>
        <v>102.953125</v>
      </c>
    </row>
    <row r="17" spans="1:11" ht="18" x14ac:dyDescent="0.35">
      <c r="A17" s="19" t="s">
        <v>335</v>
      </c>
      <c r="B17" s="20" t="s">
        <v>759</v>
      </c>
      <c r="D17" s="41">
        <v>12</v>
      </c>
      <c r="E17" s="40">
        <v>4.5</v>
      </c>
      <c r="F17" s="41">
        <v>19.5</v>
      </c>
      <c r="G17" s="42">
        <v>9</v>
      </c>
      <c r="H17" s="41">
        <v>7</v>
      </c>
      <c r="I17" s="42">
        <v>27.375</v>
      </c>
      <c r="K17" s="30">
        <f t="shared" ref="K17:K23" si="1">D17+E17+(F17*3)+G17+H17+I17*3/8</f>
        <v>101.265625</v>
      </c>
    </row>
    <row r="18" spans="1:11" ht="18" x14ac:dyDescent="0.35">
      <c r="A18" s="19"/>
      <c r="B18" s="20"/>
      <c r="D18" s="41"/>
      <c r="E18" s="40"/>
      <c r="F18" s="41"/>
      <c r="G18" s="42"/>
      <c r="H18" s="41"/>
      <c r="I18" s="42"/>
      <c r="K18" s="30">
        <f t="shared" si="1"/>
        <v>0</v>
      </c>
    </row>
    <row r="19" spans="1:11" ht="18" x14ac:dyDescent="0.35">
      <c r="A19" s="19"/>
      <c r="B19" s="20"/>
      <c r="D19" s="41"/>
      <c r="E19" s="40"/>
      <c r="F19" s="41"/>
      <c r="G19" s="42"/>
      <c r="H19" s="41"/>
      <c r="I19" s="42"/>
      <c r="K19" s="30">
        <f t="shared" si="1"/>
        <v>0</v>
      </c>
    </row>
    <row r="20" spans="1:11" ht="18" x14ac:dyDescent="0.35">
      <c r="A20" s="19"/>
      <c r="B20" s="20"/>
      <c r="D20" s="41"/>
      <c r="E20" s="40"/>
      <c r="F20" s="41"/>
      <c r="G20" s="42"/>
      <c r="H20" s="41"/>
      <c r="I20" s="42"/>
      <c r="K20" s="30">
        <f t="shared" si="1"/>
        <v>0</v>
      </c>
    </row>
    <row r="21" spans="1:11" ht="18" x14ac:dyDescent="0.35">
      <c r="A21" s="19"/>
      <c r="B21" s="20"/>
      <c r="D21" s="41"/>
      <c r="E21" s="40"/>
      <c r="F21" s="41"/>
      <c r="G21" s="42"/>
      <c r="H21" s="41"/>
      <c r="I21" s="42"/>
      <c r="K21" s="30">
        <f t="shared" si="1"/>
        <v>0</v>
      </c>
    </row>
    <row r="22" spans="1:11" ht="18" x14ac:dyDescent="0.35">
      <c r="A22" s="19"/>
      <c r="B22" s="20"/>
      <c r="D22" s="41"/>
      <c r="E22" s="40"/>
      <c r="F22" s="41"/>
      <c r="G22" s="42"/>
      <c r="H22" s="41"/>
      <c r="I22" s="42"/>
      <c r="K22" s="30">
        <f t="shared" si="1"/>
        <v>0</v>
      </c>
    </row>
    <row r="23" spans="1:11" ht="18" x14ac:dyDescent="0.35">
      <c r="A23" s="19"/>
      <c r="B23" s="20"/>
      <c r="D23" s="41"/>
      <c r="E23" s="40"/>
      <c r="F23" s="41"/>
      <c r="G23" s="42"/>
      <c r="H23" s="41"/>
      <c r="I23" s="42"/>
      <c r="K23" s="30">
        <f t="shared" si="1"/>
        <v>0</v>
      </c>
    </row>
  </sheetData>
  <phoneticPr fontId="18" type="noConversion"/>
  <conditionalFormatting sqref="K5:K23">
    <cfRule type="expression" dxfId="0" priority="2">
      <formula>"&gt;=69.5"</formula>
    </cfRule>
  </conditionalFormatting>
  <pageMargins left="0.7" right="0.7" top="0.75" bottom="0.75" header="0.3" footer="0.3"/>
  <pageSetup scale="4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25"/>
  <sheetViews>
    <sheetView zoomScale="60" zoomScaleNormal="60" workbookViewId="0">
      <selection sqref="A1:XFD1048576"/>
    </sheetView>
  </sheetViews>
  <sheetFormatPr defaultColWidth="29.109375" defaultRowHeight="14.4" x14ac:dyDescent="0.3"/>
  <cols>
    <col min="2" max="2" width="32" bestFit="1" customWidth="1"/>
  </cols>
  <sheetData>
    <row r="1" spans="1:11" ht="25.8" x14ac:dyDescent="0.5">
      <c r="A1" s="1" t="s">
        <v>0</v>
      </c>
      <c r="B1" s="2" t="s">
        <v>264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D3" s="75" t="s">
        <v>179</v>
      </c>
      <c r="E3" s="69" t="s">
        <v>159</v>
      </c>
      <c r="F3" s="72" t="s">
        <v>177</v>
      </c>
      <c r="G3" s="69" t="s">
        <v>257</v>
      </c>
      <c r="H3" s="72" t="s">
        <v>160</v>
      </c>
      <c r="I3" s="69" t="s">
        <v>161</v>
      </c>
      <c r="K3" s="70" t="s">
        <v>4</v>
      </c>
    </row>
    <row r="4" spans="1:11" ht="30" customHeight="1" x14ac:dyDescent="0.3">
      <c r="A4" s="74"/>
      <c r="B4" s="74"/>
      <c r="D4" s="76"/>
      <c r="E4" s="69"/>
      <c r="F4" s="72"/>
      <c r="G4" s="69"/>
      <c r="H4" s="72"/>
      <c r="I4" s="69"/>
      <c r="K4" s="71"/>
    </row>
    <row r="5" spans="1:11" ht="18" x14ac:dyDescent="0.35">
      <c r="A5" s="19"/>
      <c r="B5" s="20"/>
      <c r="D5" s="23"/>
      <c r="E5" s="37"/>
      <c r="F5" s="25"/>
      <c r="G5" s="26"/>
      <c r="H5" s="25"/>
      <c r="I5" s="26"/>
      <c r="K5" s="30">
        <f>(D5*3)+E5+(F5*3)+(G5*10/13)+H5+I5*3/8</f>
        <v>0</v>
      </c>
    </row>
    <row r="6" spans="1:11" ht="18" x14ac:dyDescent="0.35">
      <c r="A6" s="19"/>
      <c r="B6" s="20"/>
      <c r="D6" s="25"/>
      <c r="E6" s="26"/>
      <c r="F6" s="25"/>
      <c r="G6" s="26"/>
      <c r="H6" s="25"/>
      <c r="I6" s="26"/>
      <c r="K6" s="30">
        <f t="shared" ref="K6:K16" si="0">(D6*3)+E6+(F6*3)+(G6*10/13)+H6+I6*3/8</f>
        <v>0</v>
      </c>
    </row>
    <row r="7" spans="1:11" ht="18" x14ac:dyDescent="0.35">
      <c r="A7" s="19"/>
      <c r="B7" s="20"/>
      <c r="D7" s="25"/>
      <c r="E7" s="26"/>
      <c r="F7" s="25"/>
      <c r="G7" s="26"/>
      <c r="H7" s="25"/>
      <c r="I7" s="26"/>
      <c r="K7" s="30">
        <f t="shared" si="0"/>
        <v>0</v>
      </c>
    </row>
    <row r="8" spans="1:11" ht="18" x14ac:dyDescent="0.35">
      <c r="A8" s="19"/>
      <c r="B8" s="20"/>
      <c r="D8" s="25"/>
      <c r="E8" s="26"/>
      <c r="F8" s="25"/>
      <c r="G8" s="26"/>
      <c r="H8" s="25"/>
      <c r="I8" s="26"/>
      <c r="K8" s="30">
        <f t="shared" si="0"/>
        <v>0</v>
      </c>
    </row>
    <row r="9" spans="1:11" ht="18" x14ac:dyDescent="0.35">
      <c r="A9" s="19"/>
      <c r="B9" s="20"/>
      <c r="D9" s="25"/>
      <c r="E9" s="26"/>
      <c r="F9" s="25"/>
      <c r="G9" s="26"/>
      <c r="H9" s="25"/>
      <c r="I9" s="26"/>
      <c r="K9" s="30">
        <f t="shared" si="0"/>
        <v>0</v>
      </c>
    </row>
    <row r="10" spans="1:11" ht="18" x14ac:dyDescent="0.35">
      <c r="A10" s="19"/>
      <c r="B10" s="20"/>
      <c r="D10" s="25"/>
      <c r="E10" s="26"/>
      <c r="F10" s="25"/>
      <c r="G10" s="26"/>
      <c r="H10" s="25"/>
      <c r="I10" s="26"/>
      <c r="K10" s="30">
        <f t="shared" si="0"/>
        <v>0</v>
      </c>
    </row>
    <row r="11" spans="1:11" ht="18" x14ac:dyDescent="0.35">
      <c r="A11" s="19"/>
      <c r="B11" s="20"/>
      <c r="D11" s="25"/>
      <c r="E11" s="26"/>
      <c r="F11" s="25"/>
      <c r="G11" s="26"/>
      <c r="H11" s="25"/>
      <c r="I11" s="26"/>
      <c r="K11" s="30">
        <f t="shared" si="0"/>
        <v>0</v>
      </c>
    </row>
    <row r="12" spans="1:11" ht="18" x14ac:dyDescent="0.35">
      <c r="A12" s="19"/>
      <c r="B12" s="20"/>
      <c r="D12" s="25"/>
      <c r="E12" s="26"/>
      <c r="F12" s="25"/>
      <c r="G12" s="26"/>
      <c r="H12" s="25"/>
      <c r="I12" s="26"/>
      <c r="K12" s="30">
        <f t="shared" si="0"/>
        <v>0</v>
      </c>
    </row>
    <row r="13" spans="1:11" ht="18" x14ac:dyDescent="0.35">
      <c r="A13" s="19"/>
      <c r="B13" s="20"/>
      <c r="D13" s="25"/>
      <c r="E13" s="26"/>
      <c r="F13" s="25"/>
      <c r="G13" s="26"/>
      <c r="H13" s="25"/>
      <c r="I13" s="26"/>
      <c r="K13" s="30">
        <f t="shared" si="0"/>
        <v>0</v>
      </c>
    </row>
    <row r="14" spans="1:11" ht="18" x14ac:dyDescent="0.35">
      <c r="A14" s="19"/>
      <c r="B14" s="20"/>
      <c r="D14" s="25"/>
      <c r="E14" s="26"/>
      <c r="F14" s="25"/>
      <c r="G14" s="26"/>
      <c r="H14" s="25"/>
      <c r="I14" s="26"/>
      <c r="K14" s="30">
        <f t="shared" si="0"/>
        <v>0</v>
      </c>
    </row>
    <row r="15" spans="1:11" ht="18" x14ac:dyDescent="0.35">
      <c r="A15" s="19"/>
      <c r="B15" s="20"/>
      <c r="D15" s="25"/>
      <c r="E15" s="26"/>
      <c r="F15" s="25"/>
      <c r="G15" s="26"/>
      <c r="H15" s="25"/>
      <c r="I15" s="26"/>
      <c r="K15" s="30">
        <f t="shared" si="0"/>
        <v>0</v>
      </c>
    </row>
    <row r="16" spans="1:11" ht="18" x14ac:dyDescent="0.35">
      <c r="A16" s="19"/>
      <c r="B16" s="20"/>
      <c r="D16" s="25"/>
      <c r="E16" s="26"/>
      <c r="F16" s="25"/>
      <c r="G16" s="26"/>
      <c r="H16" s="25"/>
      <c r="I16" s="26"/>
      <c r="K16" s="30">
        <f t="shared" si="0"/>
        <v>0</v>
      </c>
    </row>
    <row r="17" spans="1:11" ht="18" x14ac:dyDescent="0.35">
      <c r="A17" s="19"/>
      <c r="B17" s="20"/>
      <c r="D17" s="25"/>
      <c r="E17" s="26"/>
      <c r="F17" s="25"/>
      <c r="G17" s="26"/>
      <c r="H17" s="25"/>
      <c r="I17" s="26"/>
      <c r="K17" s="30">
        <f t="shared" ref="K17:K20" si="1">(D17*3)+E17+(F17*3)+(G17*10/13)+H17+I17*3/8</f>
        <v>0</v>
      </c>
    </row>
    <row r="18" spans="1:11" ht="18" x14ac:dyDescent="0.35">
      <c r="A18" s="19"/>
      <c r="B18" s="20"/>
      <c r="D18" s="25"/>
      <c r="E18" s="26"/>
      <c r="F18" s="25"/>
      <c r="G18" s="26"/>
      <c r="H18" s="25"/>
      <c r="I18" s="26"/>
      <c r="K18" s="30">
        <f t="shared" si="1"/>
        <v>0</v>
      </c>
    </row>
    <row r="19" spans="1:11" ht="18" x14ac:dyDescent="0.35">
      <c r="A19" s="19"/>
      <c r="B19" s="20"/>
      <c r="D19" s="25"/>
      <c r="E19" s="26"/>
      <c r="F19" s="25"/>
      <c r="G19" s="26"/>
      <c r="H19" s="25"/>
      <c r="I19" s="26"/>
      <c r="K19" s="30">
        <f t="shared" si="1"/>
        <v>0</v>
      </c>
    </row>
    <row r="20" spans="1:11" ht="19.649999999999999" customHeight="1" x14ac:dyDescent="0.35">
      <c r="A20" s="19"/>
      <c r="B20" s="20"/>
      <c r="D20" s="25"/>
      <c r="E20" s="26"/>
      <c r="F20" s="25"/>
      <c r="G20" s="26"/>
      <c r="H20" s="25"/>
      <c r="I20" s="26"/>
      <c r="K20" s="30">
        <f t="shared" si="1"/>
        <v>0</v>
      </c>
    </row>
    <row r="21" spans="1:11" ht="19.649999999999999" customHeight="1" x14ac:dyDescent="0.35">
      <c r="A21" s="19"/>
      <c r="B21" s="20"/>
      <c r="D21" s="25"/>
      <c r="E21" s="26"/>
      <c r="F21" s="25"/>
      <c r="G21" s="26"/>
      <c r="H21" s="25"/>
      <c r="I21" s="26"/>
      <c r="K21" s="30">
        <f t="shared" ref="K21:K25" si="2">(D21*3)+E21+(F21*3)+(G21*10/13)+H21+I21*3/8</f>
        <v>0</v>
      </c>
    </row>
    <row r="22" spans="1:11" ht="19.649999999999999" customHeight="1" x14ac:dyDescent="0.35">
      <c r="A22" s="19"/>
      <c r="B22" s="20"/>
      <c r="D22" s="25"/>
      <c r="E22" s="26"/>
      <c r="F22" s="25"/>
      <c r="G22" s="26"/>
      <c r="H22" s="25"/>
      <c r="I22" s="26"/>
      <c r="K22" s="30">
        <f t="shared" si="2"/>
        <v>0</v>
      </c>
    </row>
    <row r="23" spans="1:11" ht="19.649999999999999" customHeight="1" x14ac:dyDescent="0.35">
      <c r="A23" s="19"/>
      <c r="B23" s="20"/>
      <c r="D23" s="25"/>
      <c r="E23" s="26"/>
      <c r="F23" s="25"/>
      <c r="G23" s="26"/>
      <c r="H23" s="25"/>
      <c r="I23" s="26"/>
      <c r="K23" s="30">
        <f t="shared" si="2"/>
        <v>0</v>
      </c>
    </row>
    <row r="24" spans="1:11" ht="19.649999999999999" customHeight="1" x14ac:dyDescent="0.35">
      <c r="A24" s="19"/>
      <c r="B24" s="20"/>
      <c r="D24" s="25"/>
      <c r="E24" s="26"/>
      <c r="F24" s="25"/>
      <c r="G24" s="26"/>
      <c r="H24" s="25"/>
      <c r="I24" s="26"/>
      <c r="K24" s="30">
        <f t="shared" si="2"/>
        <v>0</v>
      </c>
    </row>
    <row r="25" spans="1:11" ht="19.649999999999999" customHeight="1" x14ac:dyDescent="0.35">
      <c r="A25" s="19"/>
      <c r="B25" s="20"/>
      <c r="D25" s="25"/>
      <c r="E25" s="26"/>
      <c r="F25" s="25"/>
      <c r="G25" s="26"/>
      <c r="H25" s="25"/>
      <c r="I25" s="26"/>
      <c r="K25" s="30">
        <f t="shared" si="2"/>
        <v>0</v>
      </c>
    </row>
  </sheetData>
  <mergeCells count="9">
    <mergeCell ref="I3:I4"/>
    <mergeCell ref="K3:K4"/>
    <mergeCell ref="G3:G4"/>
    <mergeCell ref="H3:H4"/>
    <mergeCell ref="A3:A4"/>
    <mergeCell ref="B3:B4"/>
    <mergeCell ref="D3:D4"/>
    <mergeCell ref="E3:E4"/>
    <mergeCell ref="F3:F4"/>
  </mergeCells>
  <phoneticPr fontId="18" type="noConversion"/>
  <pageMargins left="0.7" right="0.7" top="0.75" bottom="0.75" header="0.3" footer="0.3"/>
  <pageSetup scale="6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K25"/>
  <sheetViews>
    <sheetView topLeftCell="E1" zoomScale="60" zoomScaleNormal="60" workbookViewId="0">
      <selection activeCell="D5" sqref="D5:I22"/>
    </sheetView>
  </sheetViews>
  <sheetFormatPr defaultColWidth="29.109375" defaultRowHeight="14.4" x14ac:dyDescent="0.3"/>
  <cols>
    <col min="2" max="2" width="32" bestFit="1" customWidth="1"/>
  </cols>
  <sheetData>
    <row r="1" spans="1:11" ht="25.8" x14ac:dyDescent="0.5">
      <c r="A1" s="1" t="s">
        <v>0</v>
      </c>
      <c r="B1" s="2" t="s">
        <v>264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D3" s="75" t="s">
        <v>179</v>
      </c>
      <c r="E3" s="69" t="s">
        <v>159</v>
      </c>
      <c r="F3" s="72" t="s">
        <v>177</v>
      </c>
      <c r="G3" s="69" t="s">
        <v>257</v>
      </c>
      <c r="H3" s="72" t="s">
        <v>160</v>
      </c>
      <c r="I3" s="69" t="s">
        <v>161</v>
      </c>
      <c r="K3" s="70" t="s">
        <v>4</v>
      </c>
    </row>
    <row r="4" spans="1:11" ht="30" customHeight="1" x14ac:dyDescent="0.3">
      <c r="A4" s="74"/>
      <c r="B4" s="74"/>
      <c r="D4" s="76"/>
      <c r="E4" s="69"/>
      <c r="F4" s="72"/>
      <c r="G4" s="69"/>
      <c r="H4" s="72"/>
      <c r="I4" s="69"/>
      <c r="K4" s="71"/>
    </row>
    <row r="5" spans="1:11" ht="18" x14ac:dyDescent="0.35">
      <c r="A5" s="19" t="s">
        <v>342</v>
      </c>
      <c r="B5" s="20" t="s">
        <v>771</v>
      </c>
      <c r="D5" s="39">
        <v>9</v>
      </c>
      <c r="E5" s="37">
        <v>3</v>
      </c>
      <c r="F5" s="41">
        <v>15</v>
      </c>
      <c r="G5" s="42">
        <v>10</v>
      </c>
      <c r="H5" s="41">
        <v>7</v>
      </c>
      <c r="I5" s="42">
        <v>27.75</v>
      </c>
      <c r="K5" s="30">
        <f>(D5*3)+E5+(F5*3)+(G5*10/13)+H5+I5*3/8</f>
        <v>100.09855769230769</v>
      </c>
    </row>
    <row r="6" spans="1:11" ht="18" x14ac:dyDescent="0.35">
      <c r="A6" s="19" t="s">
        <v>337</v>
      </c>
      <c r="B6" s="20" t="s">
        <v>781</v>
      </c>
      <c r="D6" s="41">
        <v>9</v>
      </c>
      <c r="E6" s="42">
        <v>5</v>
      </c>
      <c r="F6" s="41">
        <v>18</v>
      </c>
      <c r="G6" s="42">
        <v>6.1538461538461542</v>
      </c>
      <c r="H6" s="41">
        <v>5</v>
      </c>
      <c r="I6" s="42">
        <v>26.625</v>
      </c>
      <c r="K6" s="30">
        <f t="shared" ref="K6:K25" si="0">(D6*3)+E6+(F6*3)+(G6*10/13)+H6+I6*3/8</f>
        <v>105.71810281065089</v>
      </c>
    </row>
    <row r="7" spans="1:11" ht="18" x14ac:dyDescent="0.35">
      <c r="A7" s="19" t="s">
        <v>338</v>
      </c>
      <c r="B7" s="20" t="s">
        <v>775</v>
      </c>
      <c r="D7" s="41">
        <v>9</v>
      </c>
      <c r="E7" s="42">
        <v>4</v>
      </c>
      <c r="F7" s="41">
        <v>24</v>
      </c>
      <c r="G7" s="42">
        <v>10</v>
      </c>
      <c r="H7" s="41">
        <v>9</v>
      </c>
      <c r="I7" s="42">
        <v>26.25</v>
      </c>
      <c r="K7" s="30">
        <f t="shared" si="0"/>
        <v>129.53605769230768</v>
      </c>
    </row>
    <row r="8" spans="1:11" ht="18" x14ac:dyDescent="0.35">
      <c r="A8" s="19" t="s">
        <v>324</v>
      </c>
      <c r="B8" s="20" t="s">
        <v>770</v>
      </c>
      <c r="D8" s="41">
        <v>10.5</v>
      </c>
      <c r="E8" s="42">
        <v>3</v>
      </c>
      <c r="F8" s="41">
        <v>18</v>
      </c>
      <c r="G8" s="42">
        <v>10</v>
      </c>
      <c r="H8" s="41">
        <v>9</v>
      </c>
      <c r="I8" s="42">
        <v>27.75</v>
      </c>
      <c r="K8" s="30">
        <f t="shared" si="0"/>
        <v>115.59855769230769</v>
      </c>
    </row>
    <row r="9" spans="1:11" ht="18" x14ac:dyDescent="0.35">
      <c r="A9" s="19" t="s">
        <v>344</v>
      </c>
      <c r="B9" s="20" t="s">
        <v>345</v>
      </c>
      <c r="D9" s="41">
        <v>10.5</v>
      </c>
      <c r="E9" s="42">
        <v>4</v>
      </c>
      <c r="F9" s="41">
        <v>25.5</v>
      </c>
      <c r="G9" s="42">
        <v>8.4615384615384617</v>
      </c>
      <c r="H9" s="41">
        <v>10</v>
      </c>
      <c r="I9" s="42">
        <v>28.875</v>
      </c>
      <c r="K9" s="30">
        <f t="shared" si="0"/>
        <v>139.33700073964496</v>
      </c>
    </row>
    <row r="10" spans="1:11" ht="18" x14ac:dyDescent="0.35">
      <c r="A10" s="19" t="s">
        <v>605</v>
      </c>
      <c r="B10" s="20" t="s">
        <v>761</v>
      </c>
      <c r="D10" s="41">
        <v>9</v>
      </c>
      <c r="E10" s="42">
        <v>5</v>
      </c>
      <c r="F10" s="41">
        <v>24</v>
      </c>
      <c r="G10" s="42">
        <v>7.6923076923076925</v>
      </c>
      <c r="H10" s="41">
        <v>9</v>
      </c>
      <c r="I10" s="42">
        <v>26.625</v>
      </c>
      <c r="K10" s="30">
        <f t="shared" si="0"/>
        <v>128.90153476331361</v>
      </c>
    </row>
    <row r="11" spans="1:11" ht="18" x14ac:dyDescent="0.35">
      <c r="A11" s="19" t="s">
        <v>348</v>
      </c>
      <c r="B11" s="20" t="s">
        <v>788</v>
      </c>
      <c r="D11" s="41">
        <v>9</v>
      </c>
      <c r="E11" s="42">
        <v>4</v>
      </c>
      <c r="F11" s="41">
        <v>12</v>
      </c>
      <c r="G11" s="42">
        <v>8.4615384615384617</v>
      </c>
      <c r="H11" s="41">
        <v>8</v>
      </c>
      <c r="I11" s="42">
        <v>23.25</v>
      </c>
      <c r="K11" s="30">
        <f t="shared" si="0"/>
        <v>90.227625739644964</v>
      </c>
    </row>
    <row r="12" spans="1:11" ht="18" x14ac:dyDescent="0.35">
      <c r="A12" s="19" t="s">
        <v>349</v>
      </c>
      <c r="B12" s="20" t="s">
        <v>787</v>
      </c>
      <c r="D12" s="41">
        <v>9</v>
      </c>
      <c r="E12" s="42">
        <v>4</v>
      </c>
      <c r="F12" s="41">
        <v>24</v>
      </c>
      <c r="G12" s="42">
        <v>10</v>
      </c>
      <c r="H12" s="41">
        <v>8</v>
      </c>
      <c r="I12" s="42">
        <v>22.5</v>
      </c>
      <c r="K12" s="30">
        <f t="shared" si="0"/>
        <v>127.12980769230769</v>
      </c>
    </row>
    <row r="13" spans="1:11" ht="18" x14ac:dyDescent="0.35">
      <c r="A13" s="19" t="s">
        <v>341</v>
      </c>
      <c r="B13" s="20" t="s">
        <v>784</v>
      </c>
      <c r="D13" s="41">
        <v>7.5</v>
      </c>
      <c r="E13" s="42">
        <v>3</v>
      </c>
      <c r="F13" s="41">
        <v>18</v>
      </c>
      <c r="G13" s="42">
        <v>7.6923076923076925</v>
      </c>
      <c r="H13" s="41">
        <v>4</v>
      </c>
      <c r="I13" s="42">
        <v>19.6875</v>
      </c>
      <c r="K13" s="30">
        <f t="shared" si="0"/>
        <v>96.799972263313606</v>
      </c>
    </row>
    <row r="14" spans="1:11" ht="18" x14ac:dyDescent="0.35">
      <c r="A14" s="19" t="s">
        <v>798</v>
      </c>
      <c r="B14" s="20" t="s">
        <v>799</v>
      </c>
      <c r="D14" s="41">
        <v>12</v>
      </c>
      <c r="E14" s="42">
        <v>5</v>
      </c>
      <c r="F14" s="41">
        <v>21</v>
      </c>
      <c r="G14" s="42">
        <v>10</v>
      </c>
      <c r="H14" s="41">
        <v>9</v>
      </c>
      <c r="I14" s="42">
        <v>29.25</v>
      </c>
      <c r="K14" s="30">
        <f t="shared" si="0"/>
        <v>131.66105769230768</v>
      </c>
    </row>
    <row r="15" spans="1:11" ht="18" x14ac:dyDescent="0.35">
      <c r="A15" s="19" t="s">
        <v>800</v>
      </c>
      <c r="B15" s="20" t="s">
        <v>801</v>
      </c>
      <c r="D15" s="41">
        <v>12</v>
      </c>
      <c r="E15" s="42">
        <v>5</v>
      </c>
      <c r="F15" s="41">
        <v>27</v>
      </c>
      <c r="G15" s="42">
        <v>10</v>
      </c>
      <c r="H15" s="41">
        <v>8</v>
      </c>
      <c r="I15" s="42">
        <v>28.125</v>
      </c>
      <c r="K15" s="30">
        <f t="shared" si="0"/>
        <v>148.23918269230768</v>
      </c>
    </row>
    <row r="16" spans="1:11" ht="18" x14ac:dyDescent="0.35">
      <c r="A16" s="19" t="s">
        <v>346</v>
      </c>
      <c r="B16" s="20" t="s">
        <v>757</v>
      </c>
      <c r="D16" s="41">
        <v>7.5</v>
      </c>
      <c r="E16" s="42">
        <v>3</v>
      </c>
      <c r="F16" s="41">
        <v>15</v>
      </c>
      <c r="G16" s="42">
        <v>6.9230769230769234</v>
      </c>
      <c r="H16" s="41">
        <v>3</v>
      </c>
      <c r="I16" s="42">
        <v>22.5</v>
      </c>
      <c r="K16" s="30">
        <f t="shared" si="0"/>
        <v>87.262943786982248</v>
      </c>
    </row>
    <row r="17" spans="1:11" ht="18" x14ac:dyDescent="0.35">
      <c r="A17" s="19" t="s">
        <v>613</v>
      </c>
      <c r="B17" s="20" t="s">
        <v>791</v>
      </c>
      <c r="D17" s="41">
        <v>9</v>
      </c>
      <c r="E17" s="42">
        <v>4</v>
      </c>
      <c r="F17" s="41">
        <v>18</v>
      </c>
      <c r="G17" s="42">
        <v>7.6923076923076925</v>
      </c>
      <c r="H17" s="41">
        <v>8</v>
      </c>
      <c r="I17" s="42">
        <v>28.125</v>
      </c>
      <c r="K17" s="30">
        <f t="shared" si="0"/>
        <v>109.46403476331361</v>
      </c>
    </row>
    <row r="18" spans="1:11" ht="18" x14ac:dyDescent="0.35">
      <c r="A18" s="19" t="s">
        <v>802</v>
      </c>
      <c r="B18" s="20" t="s">
        <v>803</v>
      </c>
      <c r="D18" s="41">
        <v>9</v>
      </c>
      <c r="E18" s="42">
        <v>5</v>
      </c>
      <c r="F18" s="41">
        <v>19.5</v>
      </c>
      <c r="G18" s="42">
        <v>10</v>
      </c>
      <c r="H18" s="41">
        <v>10</v>
      </c>
      <c r="I18" s="42">
        <v>29.25</v>
      </c>
      <c r="K18" s="30">
        <f t="shared" si="0"/>
        <v>119.16105769230769</v>
      </c>
    </row>
    <row r="19" spans="1:11" ht="18" x14ac:dyDescent="0.35">
      <c r="A19" s="19" t="s">
        <v>804</v>
      </c>
      <c r="B19" s="20" t="s">
        <v>805</v>
      </c>
      <c r="D19" s="41">
        <v>12</v>
      </c>
      <c r="E19" s="42">
        <v>4</v>
      </c>
      <c r="F19" s="41">
        <v>27</v>
      </c>
      <c r="G19" s="42">
        <v>9.2307692307692317</v>
      </c>
      <c r="H19" s="41">
        <v>8</v>
      </c>
      <c r="I19" s="42">
        <v>29.625</v>
      </c>
      <c r="K19" s="30">
        <f t="shared" si="0"/>
        <v>147.20996671597632</v>
      </c>
    </row>
    <row r="20" spans="1:11" ht="19.649999999999999" customHeight="1" x14ac:dyDescent="0.35">
      <c r="A20" s="19" t="s">
        <v>806</v>
      </c>
      <c r="B20" s="20" t="s">
        <v>807</v>
      </c>
      <c r="D20" s="41">
        <v>10.5</v>
      </c>
      <c r="E20" s="42">
        <v>4</v>
      </c>
      <c r="F20" s="41">
        <v>21</v>
      </c>
      <c r="G20" s="42">
        <v>10</v>
      </c>
      <c r="H20" s="41">
        <v>9</v>
      </c>
      <c r="I20" s="42">
        <v>25.875</v>
      </c>
      <c r="K20" s="30">
        <f t="shared" si="0"/>
        <v>124.89543269230769</v>
      </c>
    </row>
    <row r="21" spans="1:11" ht="19.649999999999999" customHeight="1" x14ac:dyDescent="0.35">
      <c r="A21" s="19" t="s">
        <v>350</v>
      </c>
      <c r="B21" s="20" t="s">
        <v>808</v>
      </c>
      <c r="D21" s="41">
        <v>7.5</v>
      </c>
      <c r="E21" s="42">
        <v>4</v>
      </c>
      <c r="F21" s="41">
        <v>21</v>
      </c>
      <c r="G21" s="42">
        <v>8.4615384615384617</v>
      </c>
      <c r="H21" s="41">
        <v>3</v>
      </c>
      <c r="I21" s="42">
        <v>23.25</v>
      </c>
      <c r="K21" s="30">
        <f t="shared" si="0"/>
        <v>107.72762573964496</v>
      </c>
    </row>
    <row r="22" spans="1:11" ht="19.649999999999999" customHeight="1" x14ac:dyDescent="0.35">
      <c r="A22" s="19" t="s">
        <v>362</v>
      </c>
      <c r="B22" s="20" t="s">
        <v>363</v>
      </c>
      <c r="D22" s="41">
        <v>4.5</v>
      </c>
      <c r="E22" s="42">
        <v>3</v>
      </c>
      <c r="F22" s="41">
        <v>16.5</v>
      </c>
      <c r="G22" s="42">
        <v>8.4615384615384617</v>
      </c>
      <c r="H22" s="41">
        <v>8</v>
      </c>
      <c r="I22" s="42">
        <v>12</v>
      </c>
      <c r="K22" s="30">
        <f t="shared" si="0"/>
        <v>85.008875739644964</v>
      </c>
    </row>
    <row r="23" spans="1:11" ht="19.649999999999999" customHeight="1" x14ac:dyDescent="0.35">
      <c r="A23" s="19"/>
      <c r="B23" s="20"/>
      <c r="D23" s="41"/>
      <c r="E23" s="42"/>
      <c r="F23" s="41"/>
      <c r="G23" s="42"/>
      <c r="H23" s="41"/>
      <c r="I23" s="42"/>
      <c r="K23" s="30">
        <f t="shared" si="0"/>
        <v>0</v>
      </c>
    </row>
    <row r="24" spans="1:11" ht="19.649999999999999" customHeight="1" x14ac:dyDescent="0.35">
      <c r="A24" s="19"/>
      <c r="B24" s="20"/>
      <c r="D24" s="41"/>
      <c r="E24" s="42"/>
      <c r="F24" s="41"/>
      <c r="G24" s="42"/>
      <c r="H24" s="41"/>
      <c r="I24" s="42"/>
      <c r="K24" s="30">
        <f t="shared" si="0"/>
        <v>0</v>
      </c>
    </row>
    <row r="25" spans="1:11" ht="19.649999999999999" customHeight="1" x14ac:dyDescent="0.35">
      <c r="A25" s="19"/>
      <c r="B25" s="20"/>
      <c r="D25" s="41"/>
      <c r="E25" s="42"/>
      <c r="F25" s="41"/>
      <c r="G25" s="42"/>
      <c r="H25" s="41"/>
      <c r="I25" s="42"/>
      <c r="K25" s="30">
        <f t="shared" si="0"/>
        <v>0</v>
      </c>
    </row>
  </sheetData>
  <mergeCells count="9">
    <mergeCell ref="H3:H4"/>
    <mergeCell ref="I3:I4"/>
    <mergeCell ref="K3:K4"/>
    <mergeCell ref="A3:A4"/>
    <mergeCell ref="B3:B4"/>
    <mergeCell ref="D3:D4"/>
    <mergeCell ref="E3:E4"/>
    <mergeCell ref="F3:F4"/>
    <mergeCell ref="G3:G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K21"/>
  <sheetViews>
    <sheetView view="pageBreakPreview" topLeftCell="A2" zoomScale="80" zoomScaleSheetLayoutView="80" workbookViewId="0">
      <selection activeCell="A3" sqref="A3:A4"/>
    </sheetView>
  </sheetViews>
  <sheetFormatPr defaultColWidth="13" defaultRowHeight="14.4" x14ac:dyDescent="0.3"/>
  <cols>
    <col min="1" max="1" width="17.44140625" customWidth="1"/>
    <col min="2" max="2" width="32.44140625" bestFit="1" customWidth="1"/>
    <col min="3" max="3" width="9.44140625" customWidth="1"/>
    <col min="4" max="4" width="18.5546875" customWidth="1"/>
    <col min="5" max="5" width="28.5546875" customWidth="1"/>
    <col min="6" max="6" width="14.88671875" customWidth="1"/>
    <col min="7" max="7" width="17.109375" customWidth="1"/>
    <col min="8" max="9" width="16.44140625" customWidth="1"/>
    <col min="10" max="10" width="9.109375" customWidth="1"/>
    <col min="11" max="11" width="15.44140625" bestFit="1" customWidth="1"/>
    <col min="12" max="12" width="16.5546875" customWidth="1"/>
  </cols>
  <sheetData>
    <row r="1" spans="1:11" ht="25.8" x14ac:dyDescent="0.5">
      <c r="A1" s="1" t="s">
        <v>0</v>
      </c>
      <c r="B1" s="2" t="s">
        <v>465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C3" s="9"/>
      <c r="D3" s="75" t="s">
        <v>179</v>
      </c>
      <c r="E3" s="69" t="s">
        <v>159</v>
      </c>
      <c r="F3" s="72" t="s">
        <v>177</v>
      </c>
      <c r="G3" s="69" t="s">
        <v>256</v>
      </c>
      <c r="H3" s="72" t="s">
        <v>160</v>
      </c>
      <c r="I3" s="69" t="s">
        <v>161</v>
      </c>
      <c r="J3" s="9"/>
      <c r="K3" s="70" t="s">
        <v>4</v>
      </c>
    </row>
    <row r="4" spans="1:11" ht="24.9" customHeight="1" x14ac:dyDescent="0.3">
      <c r="A4" s="74"/>
      <c r="B4" s="74"/>
      <c r="C4" s="10"/>
      <c r="D4" s="76"/>
      <c r="E4" s="69"/>
      <c r="F4" s="72"/>
      <c r="G4" s="69"/>
      <c r="H4" s="72"/>
      <c r="I4" s="69"/>
      <c r="J4" s="10"/>
      <c r="K4" s="71"/>
    </row>
    <row r="5" spans="1:11" ht="18" x14ac:dyDescent="0.35">
      <c r="A5" s="19"/>
      <c r="B5" s="20"/>
      <c r="C5" s="21"/>
      <c r="D5" s="23"/>
      <c r="E5" s="24"/>
      <c r="F5" s="25"/>
      <c r="G5" s="26"/>
      <c r="H5" s="25"/>
      <c r="I5" s="26"/>
      <c r="J5" s="29"/>
      <c r="K5" s="30">
        <f>(D5*3)+E5+(F5*3)+G5+H5+I5*3/8</f>
        <v>0</v>
      </c>
    </row>
    <row r="6" spans="1:11" ht="18" x14ac:dyDescent="0.35">
      <c r="A6" s="19"/>
      <c r="B6" s="20"/>
      <c r="C6" s="21"/>
      <c r="D6" s="25"/>
      <c r="E6" s="26"/>
      <c r="F6" s="25"/>
      <c r="G6" s="26"/>
      <c r="H6" s="25"/>
      <c r="I6" s="26"/>
      <c r="J6" s="29"/>
      <c r="K6" s="30">
        <f t="shared" ref="K6:K21" si="0">(D6*3)+E6+(F6*3)+G6+H6+I6*3/8</f>
        <v>0</v>
      </c>
    </row>
    <row r="7" spans="1:11" ht="18" x14ac:dyDescent="0.35">
      <c r="A7" s="19"/>
      <c r="B7" s="20"/>
      <c r="C7" s="21"/>
      <c r="D7" s="25"/>
      <c r="E7" s="26"/>
      <c r="F7" s="25"/>
      <c r="G7" s="26"/>
      <c r="H7" s="25"/>
      <c r="I7" s="26"/>
      <c r="J7" s="29"/>
      <c r="K7" s="30">
        <f t="shared" si="0"/>
        <v>0</v>
      </c>
    </row>
    <row r="8" spans="1:11" ht="18" x14ac:dyDescent="0.35">
      <c r="A8" s="19"/>
      <c r="B8" s="20"/>
      <c r="C8" s="21"/>
      <c r="D8" s="25"/>
      <c r="E8" s="26"/>
      <c r="F8" s="25"/>
      <c r="G8" s="26"/>
      <c r="H8" s="25"/>
      <c r="I8" s="26"/>
      <c r="J8" s="29"/>
      <c r="K8" s="30">
        <f t="shared" si="0"/>
        <v>0</v>
      </c>
    </row>
    <row r="9" spans="1:11" ht="18" x14ac:dyDescent="0.35">
      <c r="A9" s="19"/>
      <c r="B9" s="20"/>
      <c r="C9" s="21"/>
      <c r="D9" s="25"/>
      <c r="E9" s="26"/>
      <c r="F9" s="25"/>
      <c r="G9" s="26"/>
      <c r="H9" s="25"/>
      <c r="I9" s="26"/>
      <c r="J9" s="29"/>
      <c r="K9" s="30">
        <f t="shared" si="0"/>
        <v>0</v>
      </c>
    </row>
    <row r="10" spans="1:11" ht="18" x14ac:dyDescent="0.35">
      <c r="A10" s="19"/>
      <c r="B10" s="20"/>
      <c r="C10" s="21"/>
      <c r="D10" s="25"/>
      <c r="E10" s="26"/>
      <c r="F10" s="25"/>
      <c r="G10" s="26"/>
      <c r="H10" s="25"/>
      <c r="I10" s="26"/>
      <c r="J10" s="29"/>
      <c r="K10" s="30">
        <f t="shared" si="0"/>
        <v>0</v>
      </c>
    </row>
    <row r="11" spans="1:11" ht="18" x14ac:dyDescent="0.35">
      <c r="A11" s="19"/>
      <c r="B11" s="20"/>
      <c r="C11" s="21"/>
      <c r="D11" s="25"/>
      <c r="E11" s="26"/>
      <c r="F11" s="25"/>
      <c r="G11" s="26"/>
      <c r="H11" s="25"/>
      <c r="I11" s="26"/>
      <c r="J11" s="29"/>
      <c r="K11" s="30">
        <f t="shared" si="0"/>
        <v>0</v>
      </c>
    </row>
    <row r="12" spans="1:11" ht="18" x14ac:dyDescent="0.35">
      <c r="A12" s="19"/>
      <c r="B12" s="20"/>
      <c r="C12" s="21"/>
      <c r="D12" s="25"/>
      <c r="E12" s="26"/>
      <c r="F12" s="25"/>
      <c r="G12" s="26"/>
      <c r="H12" s="25"/>
      <c r="I12" s="26"/>
      <c r="J12" s="29"/>
      <c r="K12" s="30">
        <f t="shared" si="0"/>
        <v>0</v>
      </c>
    </row>
    <row r="13" spans="1:11" ht="18" x14ac:dyDescent="0.35">
      <c r="A13" s="19"/>
      <c r="B13" s="20"/>
      <c r="C13" s="21"/>
      <c r="D13" s="25"/>
      <c r="E13" s="26"/>
      <c r="F13" s="25"/>
      <c r="G13" s="26"/>
      <c r="H13" s="25"/>
      <c r="I13" s="26"/>
      <c r="J13" s="29"/>
      <c r="K13" s="30">
        <f t="shared" si="0"/>
        <v>0</v>
      </c>
    </row>
    <row r="14" spans="1:11" ht="18" x14ac:dyDescent="0.35">
      <c r="A14" s="19"/>
      <c r="B14" s="20"/>
      <c r="C14" s="21"/>
      <c r="D14" s="25"/>
      <c r="E14" s="26"/>
      <c r="F14" s="25"/>
      <c r="G14" s="26"/>
      <c r="H14" s="25"/>
      <c r="I14" s="26"/>
      <c r="J14" s="29"/>
      <c r="K14" s="30">
        <f t="shared" si="0"/>
        <v>0</v>
      </c>
    </row>
    <row r="15" spans="1:11" ht="18" x14ac:dyDescent="0.35">
      <c r="A15" s="19"/>
      <c r="B15" s="20"/>
      <c r="C15" s="21"/>
      <c r="D15" s="25"/>
      <c r="E15" s="26"/>
      <c r="F15" s="25"/>
      <c r="G15" s="26"/>
      <c r="H15" s="25"/>
      <c r="I15" s="26"/>
      <c r="J15" s="29"/>
      <c r="K15" s="30">
        <f t="shared" si="0"/>
        <v>0</v>
      </c>
    </row>
    <row r="16" spans="1:11" ht="18" x14ac:dyDescent="0.35">
      <c r="A16" s="19"/>
      <c r="B16" s="20"/>
      <c r="C16" s="21"/>
      <c r="D16" s="25"/>
      <c r="E16" s="26"/>
      <c r="F16" s="25"/>
      <c r="G16" s="26"/>
      <c r="H16" s="25"/>
      <c r="I16" s="26"/>
      <c r="J16" s="29"/>
      <c r="K16" s="30">
        <f t="shared" si="0"/>
        <v>0</v>
      </c>
    </row>
    <row r="17" spans="1:11" ht="18" x14ac:dyDescent="0.35">
      <c r="A17" s="19"/>
      <c r="B17" s="20"/>
      <c r="C17" s="21"/>
      <c r="D17" s="25"/>
      <c r="E17" s="26"/>
      <c r="F17" s="25"/>
      <c r="G17" s="26"/>
      <c r="H17" s="25"/>
      <c r="I17" s="26"/>
      <c r="J17" s="29"/>
      <c r="K17" s="30">
        <f t="shared" si="0"/>
        <v>0</v>
      </c>
    </row>
    <row r="18" spans="1:11" ht="18" x14ac:dyDescent="0.35">
      <c r="A18" s="19"/>
      <c r="B18" s="20"/>
      <c r="C18" s="21"/>
      <c r="D18" s="25"/>
      <c r="E18" s="26"/>
      <c r="F18" s="25"/>
      <c r="G18" s="26"/>
      <c r="H18" s="25"/>
      <c r="I18" s="26"/>
      <c r="J18" s="29"/>
      <c r="K18" s="30">
        <f t="shared" si="0"/>
        <v>0</v>
      </c>
    </row>
    <row r="19" spans="1:11" ht="18" x14ac:dyDescent="0.35">
      <c r="A19" s="19"/>
      <c r="B19" s="20"/>
      <c r="C19" s="21"/>
      <c r="D19" s="25"/>
      <c r="E19" s="26"/>
      <c r="F19" s="25"/>
      <c r="G19" s="26"/>
      <c r="H19" s="25"/>
      <c r="I19" s="26"/>
      <c r="J19" s="29"/>
      <c r="K19" s="30">
        <f t="shared" si="0"/>
        <v>0</v>
      </c>
    </row>
    <row r="20" spans="1:11" ht="18" x14ac:dyDescent="0.35">
      <c r="A20" s="19"/>
      <c r="B20" s="20"/>
      <c r="C20" s="21"/>
      <c r="D20" s="25"/>
      <c r="E20" s="26"/>
      <c r="F20" s="25"/>
      <c r="G20" s="26"/>
      <c r="H20" s="25"/>
      <c r="I20" s="26"/>
      <c r="J20" s="29"/>
      <c r="K20" s="30">
        <f t="shared" si="0"/>
        <v>0</v>
      </c>
    </row>
    <row r="21" spans="1:11" ht="18" x14ac:dyDescent="0.35">
      <c r="A21" s="19"/>
      <c r="B21" s="20"/>
      <c r="C21" s="22"/>
      <c r="D21" s="25"/>
      <c r="E21" s="26"/>
      <c r="F21" s="25"/>
      <c r="G21" s="26"/>
      <c r="H21" s="25"/>
      <c r="I21" s="26"/>
      <c r="J21" s="31"/>
      <c r="K21" s="30">
        <f t="shared" si="0"/>
        <v>0</v>
      </c>
    </row>
  </sheetData>
  <mergeCells count="9">
    <mergeCell ref="A3:A4"/>
    <mergeCell ref="B3:B4"/>
    <mergeCell ref="I3:I4"/>
    <mergeCell ref="K3:K4"/>
    <mergeCell ref="D3:D4"/>
    <mergeCell ref="E3:E4"/>
    <mergeCell ref="F3:F4"/>
    <mergeCell ref="G3:G4"/>
    <mergeCell ref="H3:H4"/>
  </mergeCells>
  <phoneticPr fontId="18" type="noConversion"/>
  <pageMargins left="0.7" right="0.7" top="0.75" bottom="0.75" header="0.3" footer="0.3"/>
  <pageSetup scale="6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28"/>
  <sheetViews>
    <sheetView zoomScale="80" zoomScaleNormal="80" workbookViewId="0">
      <pane xSplit="2" topLeftCell="C1" activePane="topRight" state="frozen"/>
      <selection pane="topRight" activeCell="A5" sqref="A5:I26"/>
    </sheetView>
  </sheetViews>
  <sheetFormatPr defaultColWidth="13" defaultRowHeight="14.4" x14ac:dyDescent="0.3"/>
  <cols>
    <col min="1" max="1" width="15.44140625" bestFit="1" customWidth="1"/>
    <col min="2" max="2" width="32.5546875" bestFit="1" customWidth="1"/>
    <col min="3" max="3" width="5.88671875" customWidth="1"/>
    <col min="4" max="4" width="17.5546875" customWidth="1"/>
    <col min="5" max="5" width="23.44140625" customWidth="1"/>
    <col min="6" max="6" width="14.5546875" customWidth="1"/>
    <col min="7" max="7" width="12.88671875" customWidth="1"/>
    <col min="8" max="8" width="12.5546875" customWidth="1"/>
    <col min="9" max="9" width="12.44140625" customWidth="1"/>
    <col min="10" max="10" width="5.88671875" customWidth="1"/>
    <col min="11" max="11" width="15.44140625" bestFit="1" customWidth="1"/>
    <col min="12" max="12" width="16.5546875" customWidth="1"/>
  </cols>
  <sheetData>
    <row r="1" spans="1:11" ht="25.8" x14ac:dyDescent="0.5">
      <c r="A1" s="1" t="s">
        <v>0</v>
      </c>
      <c r="B1" s="2" t="s">
        <v>400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C3" s="9"/>
      <c r="D3" s="75" t="s">
        <v>179</v>
      </c>
      <c r="E3" s="69" t="s">
        <v>159</v>
      </c>
      <c r="F3" s="72" t="s">
        <v>177</v>
      </c>
      <c r="G3" s="69" t="s">
        <v>256</v>
      </c>
      <c r="H3" s="72" t="s">
        <v>160</v>
      </c>
      <c r="I3" s="69" t="s">
        <v>161</v>
      </c>
      <c r="J3" s="9"/>
      <c r="K3" s="70" t="s">
        <v>4</v>
      </c>
    </row>
    <row r="4" spans="1:11" ht="30.9" customHeight="1" x14ac:dyDescent="0.3">
      <c r="A4" s="74"/>
      <c r="B4" s="74"/>
      <c r="C4" s="10"/>
      <c r="D4" s="76"/>
      <c r="E4" s="69"/>
      <c r="F4" s="72"/>
      <c r="G4" s="69"/>
      <c r="H4" s="72"/>
      <c r="I4" s="69"/>
      <c r="J4" s="10"/>
      <c r="K4" s="71"/>
    </row>
    <row r="5" spans="1:11" ht="18" x14ac:dyDescent="0.35">
      <c r="A5" s="19"/>
      <c r="B5" s="20"/>
      <c r="C5" s="21"/>
      <c r="D5" s="23"/>
      <c r="E5" s="24"/>
      <c r="F5" s="25"/>
      <c r="G5" s="26"/>
      <c r="H5" s="25"/>
      <c r="I5" s="26"/>
      <c r="J5" s="27"/>
      <c r="K5" s="30">
        <f>(D5*3)+E5+(F5*3)+G5+H5+I5*3/8</f>
        <v>0</v>
      </c>
    </row>
    <row r="6" spans="1:11" ht="18" x14ac:dyDescent="0.35">
      <c r="A6" s="19"/>
      <c r="B6" s="20"/>
      <c r="C6" s="21"/>
      <c r="D6" s="39"/>
      <c r="E6" s="26"/>
      <c r="F6" s="25"/>
      <c r="G6" s="26"/>
      <c r="H6" s="25"/>
      <c r="I6" s="26"/>
      <c r="J6" s="27"/>
      <c r="K6" s="30">
        <f t="shared" ref="K6:K18" si="0">(D6*3)+E6+(F6*3)+G6+H6+I6*3/8</f>
        <v>0</v>
      </c>
    </row>
    <row r="7" spans="1:11" ht="18" x14ac:dyDescent="0.35">
      <c r="A7" s="19"/>
      <c r="B7" s="20"/>
      <c r="C7" s="21"/>
      <c r="D7" s="39"/>
      <c r="E7" s="26"/>
      <c r="F7" s="25"/>
      <c r="G7" s="26"/>
      <c r="H7" s="25"/>
      <c r="I7" s="26"/>
      <c r="J7" s="27"/>
      <c r="K7" s="30">
        <f t="shared" si="0"/>
        <v>0</v>
      </c>
    </row>
    <row r="8" spans="1:11" ht="18" x14ac:dyDescent="0.35">
      <c r="A8" s="19"/>
      <c r="B8" s="20"/>
      <c r="C8" s="21"/>
      <c r="D8" s="39"/>
      <c r="E8" s="26"/>
      <c r="F8" s="25"/>
      <c r="G8" s="26"/>
      <c r="H8" s="25"/>
      <c r="I8" s="26"/>
      <c r="J8" s="27"/>
      <c r="K8" s="30">
        <f t="shared" si="0"/>
        <v>0</v>
      </c>
    </row>
    <row r="9" spans="1:11" ht="18" x14ac:dyDescent="0.35">
      <c r="A9" s="19"/>
      <c r="B9" s="20"/>
      <c r="C9" s="21"/>
      <c r="D9" s="39"/>
      <c r="E9" s="26"/>
      <c r="F9" s="25"/>
      <c r="G9" s="26"/>
      <c r="H9" s="25"/>
      <c r="I9" s="26"/>
      <c r="J9" s="27"/>
      <c r="K9" s="30">
        <f t="shared" si="0"/>
        <v>0</v>
      </c>
    </row>
    <row r="10" spans="1:11" ht="18" x14ac:dyDescent="0.35">
      <c r="A10" s="19"/>
      <c r="B10" s="20"/>
      <c r="C10" s="21"/>
      <c r="D10" s="39"/>
      <c r="E10" s="26"/>
      <c r="F10" s="25"/>
      <c r="G10" s="26"/>
      <c r="H10" s="25"/>
      <c r="I10" s="26"/>
      <c r="J10" s="27"/>
      <c r="K10" s="30">
        <f t="shared" si="0"/>
        <v>0</v>
      </c>
    </row>
    <row r="11" spans="1:11" ht="18" x14ac:dyDescent="0.35">
      <c r="A11" s="19"/>
      <c r="B11" s="20"/>
      <c r="C11" s="21"/>
      <c r="D11" s="39"/>
      <c r="E11" s="26"/>
      <c r="F11" s="25"/>
      <c r="G11" s="26"/>
      <c r="H11" s="25"/>
      <c r="I11" s="26"/>
      <c r="J11" s="27"/>
      <c r="K11" s="30">
        <f t="shared" si="0"/>
        <v>0</v>
      </c>
    </row>
    <row r="12" spans="1:11" ht="18" x14ac:dyDescent="0.35">
      <c r="A12" s="19"/>
      <c r="B12" s="20"/>
      <c r="C12" s="21"/>
      <c r="D12" s="39"/>
      <c r="E12" s="26"/>
      <c r="F12" s="25"/>
      <c r="G12" s="26"/>
      <c r="H12" s="25"/>
      <c r="I12" s="26"/>
      <c r="J12" s="27"/>
      <c r="K12" s="30">
        <f t="shared" si="0"/>
        <v>0</v>
      </c>
    </row>
    <row r="13" spans="1:11" ht="18" x14ac:dyDescent="0.35">
      <c r="A13" s="19"/>
      <c r="B13" s="20"/>
      <c r="C13" s="21"/>
      <c r="D13" s="39"/>
      <c r="E13" s="26"/>
      <c r="F13" s="25"/>
      <c r="G13" s="26"/>
      <c r="H13" s="25"/>
      <c r="I13" s="26"/>
      <c r="J13" s="27"/>
      <c r="K13" s="30">
        <f t="shared" si="0"/>
        <v>0</v>
      </c>
    </row>
    <row r="14" spans="1:11" ht="18" x14ac:dyDescent="0.35">
      <c r="A14" s="19"/>
      <c r="B14" s="20"/>
      <c r="C14" s="21"/>
      <c r="D14" s="39"/>
      <c r="E14" s="26"/>
      <c r="F14" s="25"/>
      <c r="G14" s="26"/>
      <c r="H14" s="25"/>
      <c r="I14" s="26"/>
      <c r="J14" s="27"/>
      <c r="K14" s="30">
        <f t="shared" si="0"/>
        <v>0</v>
      </c>
    </row>
    <row r="15" spans="1:11" ht="18" x14ac:dyDescent="0.35">
      <c r="A15" s="19"/>
      <c r="B15" s="20"/>
      <c r="C15" s="21"/>
      <c r="D15" s="39"/>
      <c r="E15" s="26"/>
      <c r="F15" s="25"/>
      <c r="G15" s="26"/>
      <c r="H15" s="25"/>
      <c r="I15" s="26"/>
      <c r="J15" s="27"/>
      <c r="K15" s="30">
        <f t="shared" si="0"/>
        <v>0</v>
      </c>
    </row>
    <row r="16" spans="1:11" ht="18" x14ac:dyDescent="0.35">
      <c r="A16" s="19"/>
      <c r="B16" s="20"/>
      <c r="C16" s="21"/>
      <c r="D16" s="39"/>
      <c r="E16" s="26"/>
      <c r="F16" s="25"/>
      <c r="G16" s="26"/>
      <c r="H16" s="25"/>
      <c r="I16" s="26"/>
      <c r="J16" s="27"/>
      <c r="K16" s="30">
        <f t="shared" si="0"/>
        <v>0</v>
      </c>
    </row>
    <row r="17" spans="1:11" ht="18" x14ac:dyDescent="0.35">
      <c r="A17" s="19"/>
      <c r="B17" s="20"/>
      <c r="C17" s="21"/>
      <c r="D17" s="39"/>
      <c r="E17" s="26"/>
      <c r="F17" s="25"/>
      <c r="G17" s="26"/>
      <c r="H17" s="25"/>
      <c r="I17" s="26"/>
      <c r="J17" s="27"/>
      <c r="K17" s="30">
        <f t="shared" si="0"/>
        <v>0</v>
      </c>
    </row>
    <row r="18" spans="1:11" ht="18" x14ac:dyDescent="0.35">
      <c r="A18" s="19"/>
      <c r="B18" s="20"/>
      <c r="C18" s="22"/>
      <c r="D18" s="39"/>
      <c r="E18" s="26"/>
      <c r="F18" s="25"/>
      <c r="G18" s="26"/>
      <c r="H18" s="25"/>
      <c r="I18" s="26"/>
      <c r="J18" s="28"/>
      <c r="K18" s="30">
        <f t="shared" si="0"/>
        <v>0</v>
      </c>
    </row>
    <row r="19" spans="1:11" ht="18" x14ac:dyDescent="0.35">
      <c r="A19" s="19"/>
      <c r="B19" s="20"/>
      <c r="C19" s="22"/>
      <c r="D19" s="39"/>
      <c r="E19" s="26"/>
      <c r="F19" s="25"/>
      <c r="G19" s="26"/>
      <c r="H19" s="25"/>
      <c r="I19" s="26"/>
      <c r="J19" s="28"/>
      <c r="K19" s="30">
        <f t="shared" ref="K19:K25" si="1">(D19*3)+E19+(F19*3)+G19+H19+I19*3/8</f>
        <v>0</v>
      </c>
    </row>
    <row r="20" spans="1:11" ht="18" x14ac:dyDescent="0.35">
      <c r="A20" s="19"/>
      <c r="B20" s="20"/>
      <c r="C20" s="22"/>
      <c r="D20" s="39"/>
      <c r="E20" s="26"/>
      <c r="F20" s="25"/>
      <c r="G20" s="26"/>
      <c r="H20" s="25"/>
      <c r="I20" s="26"/>
      <c r="J20" s="28"/>
      <c r="K20" s="30">
        <f t="shared" si="1"/>
        <v>0</v>
      </c>
    </row>
    <row r="21" spans="1:11" ht="18" x14ac:dyDescent="0.35">
      <c r="A21" s="19"/>
      <c r="B21" s="20"/>
      <c r="C21" s="22"/>
      <c r="D21" s="39"/>
      <c r="E21" s="26"/>
      <c r="F21" s="25"/>
      <c r="G21" s="26"/>
      <c r="H21" s="25"/>
      <c r="I21" s="26"/>
      <c r="J21" s="28"/>
      <c r="K21" s="30">
        <f t="shared" si="1"/>
        <v>0</v>
      </c>
    </row>
    <row r="22" spans="1:11" ht="18" x14ac:dyDescent="0.35">
      <c r="A22" s="19"/>
      <c r="B22" s="20"/>
      <c r="C22" s="22"/>
      <c r="D22" s="39"/>
      <c r="E22" s="26"/>
      <c r="F22" s="25"/>
      <c r="G22" s="26"/>
      <c r="H22" s="25"/>
      <c r="I22" s="26"/>
      <c r="J22" s="28"/>
      <c r="K22" s="30">
        <f t="shared" si="1"/>
        <v>0</v>
      </c>
    </row>
    <row r="23" spans="1:11" ht="18" x14ac:dyDescent="0.35">
      <c r="A23" s="19"/>
      <c r="B23" s="20"/>
      <c r="C23" s="22"/>
      <c r="D23" s="39"/>
      <c r="E23" s="26"/>
      <c r="F23" s="25"/>
      <c r="G23" s="26"/>
      <c r="H23" s="25"/>
      <c r="I23" s="26"/>
      <c r="J23" s="28"/>
      <c r="K23" s="30">
        <f t="shared" si="1"/>
        <v>0</v>
      </c>
    </row>
    <row r="24" spans="1:11" ht="18" x14ac:dyDescent="0.35">
      <c r="A24" s="19"/>
      <c r="B24" s="20"/>
      <c r="C24" s="22"/>
      <c r="D24" s="39"/>
      <c r="E24" s="26"/>
      <c r="F24" s="25"/>
      <c r="G24" s="26"/>
      <c r="H24" s="25"/>
      <c r="I24" s="26"/>
      <c r="J24" s="28"/>
      <c r="K24" s="30">
        <f t="shared" si="1"/>
        <v>0</v>
      </c>
    </row>
    <row r="25" spans="1:11" ht="18" x14ac:dyDescent="0.35">
      <c r="A25" s="19"/>
      <c r="B25" s="20"/>
      <c r="C25" s="22"/>
      <c r="D25" s="39"/>
      <c r="E25" s="26"/>
      <c r="F25" s="25"/>
      <c r="G25" s="26"/>
      <c r="H25" s="25"/>
      <c r="I25" s="26"/>
      <c r="J25" s="28"/>
      <c r="K25" s="30">
        <f t="shared" si="1"/>
        <v>0</v>
      </c>
    </row>
    <row r="26" spans="1:11" ht="18" x14ac:dyDescent="0.35">
      <c r="A26" s="19"/>
      <c r="B26" s="20"/>
      <c r="D26" s="39"/>
      <c r="E26" s="42"/>
      <c r="F26" s="41"/>
      <c r="G26" s="42"/>
      <c r="H26" s="41"/>
      <c r="I26" s="42"/>
      <c r="J26" s="28"/>
      <c r="K26" s="30">
        <f t="shared" ref="K26:K28" si="2">(D26*3)+E26+(F26*3)+G26+H26+I26*3/8</f>
        <v>0</v>
      </c>
    </row>
    <row r="27" spans="1:11" ht="18" x14ac:dyDescent="0.35">
      <c r="A27" s="19"/>
      <c r="B27" s="20"/>
      <c r="D27" s="39"/>
      <c r="E27" s="42"/>
      <c r="F27" s="41"/>
      <c r="G27" s="42"/>
      <c r="H27" s="41"/>
      <c r="I27" s="42"/>
      <c r="J27" s="28"/>
      <c r="K27" s="30">
        <f t="shared" si="2"/>
        <v>0</v>
      </c>
    </row>
    <row r="28" spans="1:11" ht="18" x14ac:dyDescent="0.35">
      <c r="A28" s="19"/>
      <c r="B28" s="20"/>
      <c r="D28" s="39"/>
      <c r="E28" s="42"/>
      <c r="F28" s="41"/>
      <c r="G28" s="42"/>
      <c r="H28" s="41"/>
      <c r="I28" s="42"/>
      <c r="J28" s="28"/>
      <c r="K28" s="30">
        <f t="shared" si="2"/>
        <v>0</v>
      </c>
    </row>
  </sheetData>
  <mergeCells count="9">
    <mergeCell ref="H3:H4"/>
    <mergeCell ref="I3:I4"/>
    <mergeCell ref="K3:K4"/>
    <mergeCell ref="F3:F4"/>
    <mergeCell ref="A3:A4"/>
    <mergeCell ref="B3:B4"/>
    <mergeCell ref="D3:D4"/>
    <mergeCell ref="E3:E4"/>
    <mergeCell ref="G3:G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3"/>
  <sheetViews>
    <sheetView zoomScale="80" zoomScaleNormal="80" workbookViewId="0">
      <pane xSplit="2" topLeftCell="D1" activePane="topRight" state="frozen"/>
      <selection activeCell="B1" sqref="B1"/>
      <selection pane="topRight" activeCell="A3" sqref="A3:A4"/>
    </sheetView>
  </sheetViews>
  <sheetFormatPr defaultColWidth="13" defaultRowHeight="14.4" x14ac:dyDescent="0.3"/>
  <cols>
    <col min="1" max="1" width="15" bestFit="1" customWidth="1"/>
    <col min="2" max="2" width="33.44140625" bestFit="1" customWidth="1"/>
    <col min="3" max="3" width="9.44140625" customWidth="1"/>
    <col min="4" max="4" width="20.44140625" customWidth="1"/>
    <col min="5" max="5" width="27.88671875" customWidth="1"/>
    <col min="6" max="6" width="18" customWidth="1"/>
    <col min="7" max="7" width="18.88671875" customWidth="1"/>
    <col min="8" max="8" width="13.109375" customWidth="1"/>
    <col min="9" max="9" width="17" customWidth="1"/>
    <col min="10" max="10" width="9.109375" customWidth="1"/>
    <col min="11" max="11" width="15.44140625" bestFit="1" customWidth="1"/>
    <col min="12" max="12" width="16.5546875" customWidth="1"/>
  </cols>
  <sheetData>
    <row r="1" spans="1:11" ht="25.8" x14ac:dyDescent="0.5">
      <c r="A1" s="1" t="s">
        <v>0</v>
      </c>
      <c r="B1" s="2" t="s">
        <v>68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C3" s="9"/>
      <c r="D3" s="75" t="s">
        <v>179</v>
      </c>
      <c r="E3" s="69" t="s">
        <v>159</v>
      </c>
      <c r="F3" s="72" t="s">
        <v>177</v>
      </c>
      <c r="G3" s="69" t="s">
        <v>256</v>
      </c>
      <c r="H3" s="72" t="s">
        <v>162</v>
      </c>
      <c r="I3" s="69" t="s">
        <v>161</v>
      </c>
      <c r="J3" s="9"/>
      <c r="K3" s="70" t="s">
        <v>4</v>
      </c>
    </row>
    <row r="4" spans="1:11" ht="29.1" customHeight="1" x14ac:dyDescent="0.3">
      <c r="A4" s="74"/>
      <c r="B4" s="74"/>
      <c r="C4" s="10"/>
      <c r="D4" s="76"/>
      <c r="E4" s="69"/>
      <c r="F4" s="72"/>
      <c r="G4" s="69"/>
      <c r="H4" s="72"/>
      <c r="I4" s="69"/>
      <c r="J4" s="10"/>
      <c r="K4" s="71"/>
    </row>
    <row r="5" spans="1:11" ht="18" x14ac:dyDescent="0.35">
      <c r="A5" s="19"/>
      <c r="B5" s="20"/>
      <c r="C5" s="21"/>
      <c r="D5" s="23"/>
      <c r="E5" s="24"/>
      <c r="F5" s="25"/>
      <c r="G5" s="26"/>
      <c r="H5" s="25"/>
      <c r="I5" s="26"/>
      <c r="J5" s="27"/>
      <c r="K5" s="30">
        <f>(D5*3)+E5+(F5*3)+G5+(H5*10/6)+I5*3/8</f>
        <v>0</v>
      </c>
    </row>
    <row r="6" spans="1:11" ht="18" x14ac:dyDescent="0.35">
      <c r="A6" s="19"/>
      <c r="B6" s="20"/>
      <c r="C6" s="21"/>
      <c r="D6" s="25"/>
      <c r="E6" s="26"/>
      <c r="F6" s="25"/>
      <c r="G6" s="26"/>
      <c r="H6" s="25"/>
      <c r="I6" s="26"/>
      <c r="J6" s="27"/>
      <c r="K6" s="30">
        <f t="shared" ref="K6:K23" si="0">(D6*3)+E6+(F6*3)+G6+(H6*10/6)+I6*3/8</f>
        <v>0</v>
      </c>
    </row>
    <row r="7" spans="1:11" ht="18" x14ac:dyDescent="0.35">
      <c r="A7" s="19"/>
      <c r="B7" s="20"/>
      <c r="C7" s="21"/>
      <c r="D7" s="25"/>
      <c r="E7" s="26"/>
      <c r="F7" s="25"/>
      <c r="G7" s="26"/>
      <c r="H7" s="25"/>
      <c r="I7" s="26"/>
      <c r="J7" s="27"/>
      <c r="K7" s="30">
        <f t="shared" si="0"/>
        <v>0</v>
      </c>
    </row>
    <row r="8" spans="1:11" ht="18" x14ac:dyDescent="0.35">
      <c r="A8" s="19"/>
      <c r="B8" s="20"/>
      <c r="C8" s="21"/>
      <c r="D8" s="25"/>
      <c r="E8" s="26"/>
      <c r="F8" s="25"/>
      <c r="G8" s="26"/>
      <c r="H8" s="25"/>
      <c r="I8" s="26"/>
      <c r="J8" s="27"/>
      <c r="K8" s="30">
        <f t="shared" si="0"/>
        <v>0</v>
      </c>
    </row>
    <row r="9" spans="1:11" ht="18" x14ac:dyDescent="0.35">
      <c r="A9" s="19"/>
      <c r="B9" s="20"/>
      <c r="C9" s="21"/>
      <c r="D9" s="25"/>
      <c r="E9" s="26"/>
      <c r="F9" s="25"/>
      <c r="G9" s="26"/>
      <c r="H9" s="25"/>
      <c r="I9" s="26"/>
      <c r="J9" s="27"/>
      <c r="K9" s="30">
        <f t="shared" si="0"/>
        <v>0</v>
      </c>
    </row>
    <row r="10" spans="1:11" ht="18" x14ac:dyDescent="0.35">
      <c r="A10" s="19"/>
      <c r="B10" s="20"/>
      <c r="C10" s="21"/>
      <c r="D10" s="25"/>
      <c r="E10" s="26"/>
      <c r="F10" s="25"/>
      <c r="G10" s="26"/>
      <c r="H10" s="25"/>
      <c r="I10" s="26"/>
      <c r="J10" s="27"/>
      <c r="K10" s="30">
        <f t="shared" si="0"/>
        <v>0</v>
      </c>
    </row>
    <row r="11" spans="1:11" ht="18" x14ac:dyDescent="0.35">
      <c r="A11" s="19"/>
      <c r="B11" s="20"/>
      <c r="C11" s="21"/>
      <c r="D11" s="25"/>
      <c r="E11" s="26"/>
      <c r="F11" s="25"/>
      <c r="G11" s="26"/>
      <c r="H11" s="25"/>
      <c r="I11" s="26"/>
      <c r="J11" s="27"/>
      <c r="K11" s="30">
        <f t="shared" si="0"/>
        <v>0</v>
      </c>
    </row>
    <row r="12" spans="1:11" ht="18" x14ac:dyDescent="0.35">
      <c r="A12" s="19"/>
      <c r="B12" s="20"/>
      <c r="C12" s="21"/>
      <c r="D12" s="25"/>
      <c r="E12" s="26"/>
      <c r="F12" s="25"/>
      <c r="G12" s="26"/>
      <c r="H12" s="25"/>
      <c r="I12" s="26"/>
      <c r="J12" s="27"/>
      <c r="K12" s="30">
        <f t="shared" si="0"/>
        <v>0</v>
      </c>
    </row>
    <row r="13" spans="1:11" ht="18" x14ac:dyDescent="0.35">
      <c r="A13" s="19"/>
      <c r="B13" s="20"/>
      <c r="C13" s="21"/>
      <c r="D13" s="25"/>
      <c r="E13" s="26"/>
      <c r="F13" s="25"/>
      <c r="G13" s="26"/>
      <c r="H13" s="25"/>
      <c r="I13" s="26"/>
      <c r="J13" s="27"/>
      <c r="K13" s="30">
        <f t="shared" si="0"/>
        <v>0</v>
      </c>
    </row>
    <row r="14" spans="1:11" ht="18" x14ac:dyDescent="0.35">
      <c r="A14" s="19"/>
      <c r="B14" s="20"/>
      <c r="C14" s="21"/>
      <c r="D14" s="25"/>
      <c r="E14" s="26"/>
      <c r="F14" s="25"/>
      <c r="G14" s="26"/>
      <c r="H14" s="25"/>
      <c r="I14" s="26"/>
      <c r="J14" s="27"/>
      <c r="K14" s="30">
        <f t="shared" si="0"/>
        <v>0</v>
      </c>
    </row>
    <row r="15" spans="1:11" ht="18" x14ac:dyDescent="0.35">
      <c r="A15" s="19"/>
      <c r="B15" s="20"/>
      <c r="C15" s="21"/>
      <c r="D15" s="25"/>
      <c r="E15" s="26"/>
      <c r="F15" s="25"/>
      <c r="G15" s="26"/>
      <c r="H15" s="25"/>
      <c r="I15" s="26"/>
      <c r="J15" s="27"/>
      <c r="K15" s="30">
        <f t="shared" si="0"/>
        <v>0</v>
      </c>
    </row>
    <row r="16" spans="1:11" ht="18" x14ac:dyDescent="0.35">
      <c r="A16" s="19"/>
      <c r="B16" s="20"/>
      <c r="C16" s="21"/>
      <c r="D16" s="25"/>
      <c r="E16" s="26"/>
      <c r="F16" s="25"/>
      <c r="G16" s="26"/>
      <c r="H16" s="25"/>
      <c r="I16" s="26"/>
      <c r="J16" s="27"/>
      <c r="K16" s="30">
        <f t="shared" si="0"/>
        <v>0</v>
      </c>
    </row>
    <row r="17" spans="1:11" ht="18" x14ac:dyDescent="0.35">
      <c r="A17" s="19"/>
      <c r="B17" s="20"/>
      <c r="C17" s="21"/>
      <c r="D17" s="25"/>
      <c r="E17" s="26"/>
      <c r="F17" s="25"/>
      <c r="G17" s="26"/>
      <c r="H17" s="25"/>
      <c r="I17" s="26"/>
      <c r="J17" s="27"/>
      <c r="K17" s="30">
        <f t="shared" si="0"/>
        <v>0</v>
      </c>
    </row>
    <row r="18" spans="1:11" ht="18" x14ac:dyDescent="0.35">
      <c r="A18" s="19"/>
      <c r="B18" s="20"/>
      <c r="C18" s="22"/>
      <c r="D18" s="25"/>
      <c r="E18" s="26"/>
      <c r="F18" s="25"/>
      <c r="G18" s="26"/>
      <c r="H18" s="25"/>
      <c r="I18" s="26"/>
      <c r="J18" s="28"/>
      <c r="K18" s="30">
        <f t="shared" si="0"/>
        <v>0</v>
      </c>
    </row>
    <row r="19" spans="1:11" ht="18" x14ac:dyDescent="0.35">
      <c r="A19" s="19"/>
      <c r="B19" s="20"/>
      <c r="C19" s="22"/>
      <c r="D19" s="25"/>
      <c r="E19" s="26"/>
      <c r="F19" s="25"/>
      <c r="G19" s="26"/>
      <c r="H19" s="25"/>
      <c r="I19" s="26"/>
      <c r="J19" s="28"/>
      <c r="K19" s="30">
        <f t="shared" si="0"/>
        <v>0</v>
      </c>
    </row>
    <row r="20" spans="1:11" ht="18" x14ac:dyDescent="0.35">
      <c r="A20" s="19"/>
      <c r="B20" s="20"/>
      <c r="C20" s="22"/>
      <c r="D20" s="25"/>
      <c r="E20" s="26"/>
      <c r="F20" s="25"/>
      <c r="G20" s="26"/>
      <c r="H20" s="25"/>
      <c r="I20" s="26"/>
      <c r="J20" s="28"/>
      <c r="K20" s="30">
        <f t="shared" si="0"/>
        <v>0</v>
      </c>
    </row>
    <row r="21" spans="1:11" ht="18" x14ac:dyDescent="0.35">
      <c r="A21" s="19"/>
      <c r="B21" s="20"/>
      <c r="C21" s="22"/>
      <c r="D21" s="25"/>
      <c r="E21" s="26"/>
      <c r="F21" s="25"/>
      <c r="G21" s="26"/>
      <c r="H21" s="25"/>
      <c r="I21" s="26"/>
      <c r="J21" s="28"/>
      <c r="K21" s="30">
        <f t="shared" si="0"/>
        <v>0</v>
      </c>
    </row>
    <row r="22" spans="1:11" ht="18" x14ac:dyDescent="0.35">
      <c r="A22" s="19"/>
      <c r="B22" s="20"/>
      <c r="C22" s="22"/>
      <c r="D22" s="25"/>
      <c r="E22" s="26"/>
      <c r="F22" s="25"/>
      <c r="G22" s="26"/>
      <c r="H22" s="25"/>
      <c r="I22" s="26"/>
      <c r="J22" s="28"/>
      <c r="K22" s="30">
        <f t="shared" si="0"/>
        <v>0</v>
      </c>
    </row>
    <row r="23" spans="1:11" ht="18" x14ac:dyDescent="0.35">
      <c r="A23" s="19"/>
      <c r="B23" s="20"/>
      <c r="C23" s="22"/>
      <c r="D23" s="25"/>
      <c r="E23" s="26"/>
      <c r="F23" s="25"/>
      <c r="G23" s="26"/>
      <c r="H23" s="25"/>
      <c r="I23" s="26"/>
      <c r="J23" s="28"/>
      <c r="K23" s="30">
        <f t="shared" si="0"/>
        <v>0</v>
      </c>
    </row>
  </sheetData>
  <sheetProtection selectLockedCells="1"/>
  <mergeCells count="9">
    <mergeCell ref="K3:K4"/>
    <mergeCell ref="D3:D4"/>
    <mergeCell ref="E3:E4"/>
    <mergeCell ref="F3:F4"/>
    <mergeCell ref="A3:A4"/>
    <mergeCell ref="B3:B4"/>
    <mergeCell ref="G3:G4"/>
    <mergeCell ref="H3:H4"/>
    <mergeCell ref="I3:I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25"/>
  <sheetViews>
    <sheetView workbookViewId="0"/>
  </sheetViews>
  <sheetFormatPr defaultColWidth="13" defaultRowHeight="14.4" x14ac:dyDescent="0.3"/>
  <cols>
    <col min="1" max="1" width="15.109375" bestFit="1" customWidth="1"/>
    <col min="2" max="2" width="33.44140625" bestFit="1" customWidth="1"/>
    <col min="3" max="3" width="9.44140625" customWidth="1"/>
    <col min="4" max="4" width="17.88671875" customWidth="1"/>
    <col min="5" max="5" width="26.109375" customWidth="1"/>
    <col min="6" max="6" width="17.44140625" customWidth="1"/>
    <col min="7" max="7" width="15.88671875" customWidth="1"/>
    <col min="8" max="9" width="16.5546875" customWidth="1"/>
    <col min="10" max="10" width="9.109375" customWidth="1"/>
    <col min="11" max="11" width="15.44140625" bestFit="1" customWidth="1"/>
    <col min="12" max="12" width="16.5546875" customWidth="1"/>
  </cols>
  <sheetData>
    <row r="1" spans="1:11" ht="25.8" x14ac:dyDescent="0.5">
      <c r="A1" s="1" t="s">
        <v>0</v>
      </c>
      <c r="B1" s="2" t="s">
        <v>259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C3" s="9"/>
      <c r="D3" s="75" t="s">
        <v>179</v>
      </c>
      <c r="E3" s="69" t="s">
        <v>159</v>
      </c>
      <c r="F3" s="72" t="s">
        <v>177</v>
      </c>
      <c r="G3" s="69" t="s">
        <v>256</v>
      </c>
      <c r="H3" s="72" t="s">
        <v>160</v>
      </c>
      <c r="I3" s="69" t="s">
        <v>161</v>
      </c>
      <c r="J3" s="9"/>
      <c r="K3" s="70" t="s">
        <v>4</v>
      </c>
    </row>
    <row r="4" spans="1:11" ht="24" customHeight="1" x14ac:dyDescent="0.3">
      <c r="A4" s="74"/>
      <c r="B4" s="74"/>
      <c r="C4" s="10"/>
      <c r="D4" s="76"/>
      <c r="E4" s="69"/>
      <c r="F4" s="72"/>
      <c r="G4" s="69"/>
      <c r="H4" s="72"/>
      <c r="I4" s="69"/>
      <c r="J4" s="10"/>
      <c r="K4" s="71"/>
    </row>
    <row r="5" spans="1:11" ht="18" x14ac:dyDescent="0.35">
      <c r="A5" s="19"/>
      <c r="B5" s="20"/>
      <c r="C5" s="21"/>
      <c r="D5" s="23"/>
      <c r="E5" s="24"/>
      <c r="F5" s="25"/>
      <c r="G5" s="26"/>
      <c r="H5" s="25"/>
      <c r="I5" s="26"/>
      <c r="J5" s="27"/>
      <c r="K5" s="30">
        <f>(D5*4)+E5+(F5*2)+G5+(H5*15/10)+I5*3/8</f>
        <v>0</v>
      </c>
    </row>
    <row r="6" spans="1:11" ht="18" x14ac:dyDescent="0.35">
      <c r="A6" s="19"/>
      <c r="B6" s="20"/>
      <c r="C6" s="21"/>
      <c r="D6" s="25"/>
      <c r="E6" s="26"/>
      <c r="F6" s="25"/>
      <c r="G6" s="26"/>
      <c r="H6" s="25"/>
      <c r="I6" s="26"/>
      <c r="J6" s="27"/>
      <c r="K6" s="30">
        <f t="shared" ref="K6:K25" si="0">(D6*4)+E6+(F6*2)+G6+(H6*15/10)+I6*3/8</f>
        <v>0</v>
      </c>
    </row>
    <row r="7" spans="1:11" ht="18" x14ac:dyDescent="0.35">
      <c r="A7" s="19"/>
      <c r="B7" s="20"/>
      <c r="C7" s="21"/>
      <c r="D7" s="25"/>
      <c r="E7" s="26"/>
      <c r="F7" s="25"/>
      <c r="G7" s="26"/>
      <c r="H7" s="25"/>
      <c r="I7" s="26"/>
      <c r="J7" s="27"/>
      <c r="K7" s="30">
        <f t="shared" si="0"/>
        <v>0</v>
      </c>
    </row>
    <row r="8" spans="1:11" ht="18" x14ac:dyDescent="0.35">
      <c r="A8" s="19"/>
      <c r="B8" s="20"/>
      <c r="C8" s="21"/>
      <c r="D8" s="25"/>
      <c r="E8" s="26"/>
      <c r="F8" s="25"/>
      <c r="G8" s="26"/>
      <c r="H8" s="25"/>
      <c r="I8" s="26"/>
      <c r="J8" s="27"/>
      <c r="K8" s="30">
        <f t="shared" si="0"/>
        <v>0</v>
      </c>
    </row>
    <row r="9" spans="1:11" ht="18" x14ac:dyDescent="0.35">
      <c r="A9" s="19"/>
      <c r="B9" s="20"/>
      <c r="C9" s="21"/>
      <c r="D9" s="25"/>
      <c r="E9" s="26"/>
      <c r="F9" s="25"/>
      <c r="G9" s="26"/>
      <c r="H9" s="25"/>
      <c r="I9" s="26"/>
      <c r="J9" s="27"/>
      <c r="K9" s="30">
        <f t="shared" si="0"/>
        <v>0</v>
      </c>
    </row>
    <row r="10" spans="1:11" ht="18" x14ac:dyDescent="0.35">
      <c r="A10" s="19"/>
      <c r="B10" s="20"/>
      <c r="C10" s="21"/>
      <c r="D10" s="25"/>
      <c r="E10" s="26"/>
      <c r="F10" s="25"/>
      <c r="G10" s="26"/>
      <c r="H10" s="25"/>
      <c r="I10" s="26"/>
      <c r="J10" s="27"/>
      <c r="K10" s="30">
        <f t="shared" si="0"/>
        <v>0</v>
      </c>
    </row>
    <row r="11" spans="1:11" ht="18" x14ac:dyDescent="0.35">
      <c r="A11" s="19"/>
      <c r="B11" s="20"/>
      <c r="C11" s="21"/>
      <c r="D11" s="25"/>
      <c r="E11" s="26"/>
      <c r="F11" s="25"/>
      <c r="G11" s="26"/>
      <c r="H11" s="25"/>
      <c r="I11" s="26"/>
      <c r="J11" s="27"/>
      <c r="K11" s="30">
        <f t="shared" si="0"/>
        <v>0</v>
      </c>
    </row>
    <row r="12" spans="1:11" ht="18" x14ac:dyDescent="0.35">
      <c r="A12" s="19"/>
      <c r="B12" s="20"/>
      <c r="C12" s="21"/>
      <c r="D12" s="25"/>
      <c r="E12" s="26"/>
      <c r="F12" s="25"/>
      <c r="G12" s="26"/>
      <c r="H12" s="25"/>
      <c r="I12" s="26"/>
      <c r="J12" s="27"/>
      <c r="K12" s="30">
        <f t="shared" si="0"/>
        <v>0</v>
      </c>
    </row>
    <row r="13" spans="1:11" ht="18" x14ac:dyDescent="0.35">
      <c r="A13" s="19"/>
      <c r="B13" s="20"/>
      <c r="C13" s="21"/>
      <c r="D13" s="25"/>
      <c r="E13" s="26"/>
      <c r="F13" s="25"/>
      <c r="G13" s="26"/>
      <c r="H13" s="25"/>
      <c r="I13" s="26"/>
      <c r="J13" s="27"/>
      <c r="K13" s="30">
        <f t="shared" si="0"/>
        <v>0</v>
      </c>
    </row>
    <row r="14" spans="1:11" ht="18" x14ac:dyDescent="0.35">
      <c r="A14" s="19"/>
      <c r="B14" s="20"/>
      <c r="C14" s="21"/>
      <c r="D14" s="25"/>
      <c r="E14" s="26"/>
      <c r="F14" s="25"/>
      <c r="G14" s="26"/>
      <c r="H14" s="25"/>
      <c r="I14" s="26"/>
      <c r="J14" s="27"/>
      <c r="K14" s="30">
        <f t="shared" si="0"/>
        <v>0</v>
      </c>
    </row>
    <row r="15" spans="1:11" ht="18" x14ac:dyDescent="0.35">
      <c r="A15" s="19"/>
      <c r="B15" s="20"/>
      <c r="C15" s="21"/>
      <c r="D15" s="25"/>
      <c r="E15" s="26"/>
      <c r="F15" s="25"/>
      <c r="G15" s="26"/>
      <c r="H15" s="25"/>
      <c r="I15" s="26"/>
      <c r="J15" s="27"/>
      <c r="K15" s="30">
        <f t="shared" si="0"/>
        <v>0</v>
      </c>
    </row>
    <row r="16" spans="1:11" ht="18" x14ac:dyDescent="0.35">
      <c r="A16" s="19"/>
      <c r="B16" s="20"/>
      <c r="C16" s="21"/>
      <c r="D16" s="25"/>
      <c r="E16" s="26"/>
      <c r="F16" s="25"/>
      <c r="G16" s="26"/>
      <c r="H16" s="25"/>
      <c r="I16" s="26"/>
      <c r="J16" s="27"/>
      <c r="K16" s="30">
        <f t="shared" si="0"/>
        <v>0</v>
      </c>
    </row>
    <row r="17" spans="1:11" ht="18" x14ac:dyDescent="0.35">
      <c r="A17" s="19"/>
      <c r="B17" s="20"/>
      <c r="C17" s="21"/>
      <c r="D17" s="25"/>
      <c r="E17" s="26"/>
      <c r="F17" s="25"/>
      <c r="G17" s="26"/>
      <c r="H17" s="25"/>
      <c r="I17" s="26"/>
      <c r="J17" s="27"/>
      <c r="K17" s="30">
        <f t="shared" si="0"/>
        <v>0</v>
      </c>
    </row>
    <row r="18" spans="1:11" ht="18" customHeight="1" x14ac:dyDescent="0.35">
      <c r="A18" s="19"/>
      <c r="B18" s="20"/>
      <c r="C18" s="21"/>
      <c r="D18" s="25"/>
      <c r="E18" s="26"/>
      <c r="F18" s="25"/>
      <c r="G18" s="26"/>
      <c r="H18" s="25"/>
      <c r="I18" s="26"/>
      <c r="J18" s="27"/>
      <c r="K18" s="30">
        <f t="shared" si="0"/>
        <v>0</v>
      </c>
    </row>
    <row r="19" spans="1:11" ht="18" x14ac:dyDescent="0.35">
      <c r="A19" s="19"/>
      <c r="B19" s="20"/>
      <c r="C19" s="21"/>
      <c r="D19" s="25"/>
      <c r="E19" s="26"/>
      <c r="F19" s="25"/>
      <c r="G19" s="26"/>
      <c r="H19" s="25"/>
      <c r="I19" s="26"/>
      <c r="J19" s="27"/>
      <c r="K19" s="30">
        <f t="shared" si="0"/>
        <v>0</v>
      </c>
    </row>
    <row r="20" spans="1:11" ht="18" x14ac:dyDescent="0.35">
      <c r="A20" s="19"/>
      <c r="B20" s="20"/>
      <c r="C20" s="21"/>
      <c r="D20" s="25"/>
      <c r="E20" s="26"/>
      <c r="F20" s="25"/>
      <c r="G20" s="26"/>
      <c r="H20" s="25"/>
      <c r="I20" s="26"/>
      <c r="J20" s="27"/>
      <c r="K20" s="30">
        <f t="shared" si="0"/>
        <v>0</v>
      </c>
    </row>
    <row r="21" spans="1:11" ht="18" x14ac:dyDescent="0.35">
      <c r="A21" s="19"/>
      <c r="B21" s="20"/>
      <c r="C21" s="21"/>
      <c r="D21" s="25"/>
      <c r="E21" s="26"/>
      <c r="F21" s="25"/>
      <c r="G21" s="26"/>
      <c r="H21" s="25"/>
      <c r="I21" s="26"/>
      <c r="J21" s="27"/>
      <c r="K21" s="30">
        <f t="shared" si="0"/>
        <v>0</v>
      </c>
    </row>
    <row r="22" spans="1:11" ht="18" x14ac:dyDescent="0.35">
      <c r="A22" s="19"/>
      <c r="B22" s="20"/>
      <c r="C22" s="21"/>
      <c r="D22" s="25"/>
      <c r="E22" s="26"/>
      <c r="F22" s="25"/>
      <c r="G22" s="26"/>
      <c r="H22" s="25"/>
      <c r="I22" s="26"/>
      <c r="J22" s="27"/>
      <c r="K22" s="30">
        <f t="shared" si="0"/>
        <v>0</v>
      </c>
    </row>
    <row r="23" spans="1:11" ht="18" x14ac:dyDescent="0.35">
      <c r="A23" s="19"/>
      <c r="B23" s="20"/>
      <c r="C23" s="21"/>
      <c r="D23" s="25"/>
      <c r="E23" s="26"/>
      <c r="F23" s="25"/>
      <c r="G23" s="26"/>
      <c r="H23" s="25"/>
      <c r="I23" s="26"/>
      <c r="J23" s="27"/>
      <c r="K23" s="30">
        <f t="shared" si="0"/>
        <v>0</v>
      </c>
    </row>
    <row r="24" spans="1:11" ht="18" x14ac:dyDescent="0.35">
      <c r="A24" s="19"/>
      <c r="B24" s="20"/>
      <c r="C24" s="21"/>
      <c r="D24" s="25"/>
      <c r="E24" s="26"/>
      <c r="F24" s="25"/>
      <c r="G24" s="26"/>
      <c r="H24" s="25"/>
      <c r="I24" s="26"/>
      <c r="J24" s="27"/>
      <c r="K24" s="30">
        <f t="shared" si="0"/>
        <v>0</v>
      </c>
    </row>
    <row r="25" spans="1:11" ht="18" x14ac:dyDescent="0.35">
      <c r="A25" s="19"/>
      <c r="B25" s="3"/>
      <c r="C25" s="22"/>
      <c r="D25" s="25"/>
      <c r="E25" s="26"/>
      <c r="F25" s="25"/>
      <c r="G25" s="26"/>
      <c r="H25" s="25"/>
      <c r="I25" s="26"/>
      <c r="J25" s="28"/>
      <c r="K25" s="30">
        <f t="shared" si="0"/>
        <v>0</v>
      </c>
    </row>
  </sheetData>
  <mergeCells count="9">
    <mergeCell ref="H3:H4"/>
    <mergeCell ref="I3:I4"/>
    <mergeCell ref="K3:K4"/>
    <mergeCell ref="A3:A4"/>
    <mergeCell ref="B3:B4"/>
    <mergeCell ref="D3:D4"/>
    <mergeCell ref="E3:E4"/>
    <mergeCell ref="F3:F4"/>
    <mergeCell ref="G3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pageSetUpPr fitToPage="1"/>
  </sheetPr>
  <dimension ref="A1:L27"/>
  <sheetViews>
    <sheetView zoomScale="90" zoomScaleNormal="90" zoomScalePageLayoutView="90" workbookViewId="0">
      <pane xSplit="2" topLeftCell="C1" activePane="topRight" state="frozen"/>
      <selection pane="topRight" activeCell="A3" sqref="A3:A4"/>
    </sheetView>
  </sheetViews>
  <sheetFormatPr defaultColWidth="13" defaultRowHeight="14.4" x14ac:dyDescent="0.3"/>
  <cols>
    <col min="1" max="1" width="16.5546875" bestFit="1" customWidth="1"/>
    <col min="2" max="2" width="33.109375" bestFit="1" customWidth="1"/>
    <col min="3" max="3" width="5.5546875" customWidth="1"/>
    <col min="4" max="4" width="17.88671875" bestFit="1" customWidth="1"/>
    <col min="5" max="5" width="25.44140625" bestFit="1" customWidth="1"/>
    <col min="6" max="6" width="13.88671875" bestFit="1" customWidth="1"/>
    <col min="7" max="7" width="13.44140625" bestFit="1" customWidth="1"/>
    <col min="8" max="8" width="13.88671875" bestFit="1" customWidth="1"/>
    <col min="9" max="9" width="14.88671875" bestFit="1" customWidth="1"/>
    <col min="10" max="10" width="5.88671875" customWidth="1"/>
    <col min="11" max="11" width="11" bestFit="1" customWidth="1"/>
    <col min="12" max="12" width="16.5546875" customWidth="1"/>
  </cols>
  <sheetData>
    <row r="1" spans="1:12" ht="25.8" x14ac:dyDescent="0.5">
      <c r="A1" s="1" t="s">
        <v>0</v>
      </c>
      <c r="B1" s="2" t="s">
        <v>442</v>
      </c>
    </row>
    <row r="2" spans="1:12" ht="25.8" x14ac:dyDescent="0.5">
      <c r="A2" s="1" t="s">
        <v>1</v>
      </c>
      <c r="B2" s="2" t="s">
        <v>321</v>
      </c>
    </row>
    <row r="3" spans="1:12" ht="14.4" customHeight="1" x14ac:dyDescent="0.3">
      <c r="A3" s="73" t="s">
        <v>2</v>
      </c>
      <c r="B3" s="73" t="s">
        <v>3</v>
      </c>
      <c r="C3" s="9"/>
      <c r="D3" s="75" t="s">
        <v>179</v>
      </c>
      <c r="E3" s="69" t="s">
        <v>159</v>
      </c>
      <c r="F3" s="72" t="s">
        <v>177</v>
      </c>
      <c r="G3" s="69" t="s">
        <v>463</v>
      </c>
      <c r="H3" s="72" t="s">
        <v>160</v>
      </c>
      <c r="I3" s="69" t="s">
        <v>163</v>
      </c>
      <c r="J3" s="9"/>
      <c r="K3" s="70" t="s">
        <v>4</v>
      </c>
    </row>
    <row r="4" spans="1:12" ht="27" customHeight="1" x14ac:dyDescent="0.3">
      <c r="A4" s="74"/>
      <c r="B4" s="74"/>
      <c r="C4" s="10"/>
      <c r="D4" s="76"/>
      <c r="E4" s="69"/>
      <c r="F4" s="72"/>
      <c r="G4" s="69"/>
      <c r="H4" s="72"/>
      <c r="I4" s="69"/>
      <c r="J4" s="10"/>
      <c r="K4" s="71"/>
    </row>
    <row r="5" spans="1:12" ht="18" x14ac:dyDescent="0.35">
      <c r="A5" s="32"/>
      <c r="B5" s="33"/>
      <c r="C5" s="34"/>
      <c r="D5" s="36"/>
      <c r="E5" s="37"/>
      <c r="F5" s="25"/>
      <c r="G5" s="26"/>
      <c r="H5" s="25"/>
      <c r="I5" s="26"/>
      <c r="J5" s="27"/>
      <c r="K5" s="30">
        <f>(D5*4)+E5+(F5*2)+(G5*10/6)+(H5*15/10)+(I5*3/10)</f>
        <v>0</v>
      </c>
      <c r="L5" s="38"/>
    </row>
    <row r="6" spans="1:12" ht="18" x14ac:dyDescent="0.35">
      <c r="A6" s="32"/>
      <c r="B6" s="33"/>
      <c r="C6" s="34"/>
      <c r="D6" s="25"/>
      <c r="E6" s="37"/>
      <c r="F6" s="25"/>
      <c r="G6" s="26"/>
      <c r="H6" s="25"/>
      <c r="I6" s="26"/>
      <c r="J6" s="27"/>
      <c r="K6" s="30">
        <f t="shared" ref="K6:K26" si="0">(D6*4)+E6+(F6*2)+(G6*10/6)+(H6*15/10)+(I6*3/10)</f>
        <v>0</v>
      </c>
      <c r="L6" s="38"/>
    </row>
    <row r="7" spans="1:12" ht="18" x14ac:dyDescent="0.35">
      <c r="A7" s="32"/>
      <c r="B7" s="33"/>
      <c r="C7" s="34"/>
      <c r="D7" s="25"/>
      <c r="E7" s="37"/>
      <c r="F7" s="25"/>
      <c r="G7" s="26"/>
      <c r="H7" s="25"/>
      <c r="I7" s="26"/>
      <c r="J7" s="27"/>
      <c r="K7" s="30">
        <f t="shared" si="0"/>
        <v>0</v>
      </c>
      <c r="L7" s="38"/>
    </row>
    <row r="8" spans="1:12" ht="18" x14ac:dyDescent="0.35">
      <c r="A8" s="32"/>
      <c r="B8" s="33"/>
      <c r="C8" s="34"/>
      <c r="D8" s="25"/>
      <c r="E8" s="37"/>
      <c r="F8" s="25"/>
      <c r="G8" s="26"/>
      <c r="H8" s="25"/>
      <c r="I8" s="26"/>
      <c r="J8" s="27"/>
      <c r="K8" s="30">
        <f t="shared" si="0"/>
        <v>0</v>
      </c>
      <c r="L8" s="38"/>
    </row>
    <row r="9" spans="1:12" ht="18" x14ac:dyDescent="0.35">
      <c r="A9" s="32"/>
      <c r="B9" s="33"/>
      <c r="C9" s="34"/>
      <c r="D9" s="25"/>
      <c r="E9" s="37"/>
      <c r="F9" s="25"/>
      <c r="G9" s="26"/>
      <c r="H9" s="25"/>
      <c r="I9" s="26"/>
      <c r="J9" s="27"/>
      <c r="K9" s="30">
        <f t="shared" si="0"/>
        <v>0</v>
      </c>
      <c r="L9" s="38"/>
    </row>
    <row r="10" spans="1:12" ht="18" x14ac:dyDescent="0.35">
      <c r="A10" s="32"/>
      <c r="B10" s="33"/>
      <c r="C10" s="34"/>
      <c r="D10" s="25"/>
      <c r="E10" s="37"/>
      <c r="F10" s="25"/>
      <c r="G10" s="26"/>
      <c r="H10" s="25"/>
      <c r="I10" s="26"/>
      <c r="J10" s="27"/>
      <c r="K10" s="30">
        <f t="shared" si="0"/>
        <v>0</v>
      </c>
      <c r="L10" s="38"/>
    </row>
    <row r="11" spans="1:12" ht="18" x14ac:dyDescent="0.35">
      <c r="A11" s="32"/>
      <c r="B11" s="33"/>
      <c r="C11" s="34"/>
      <c r="D11" s="25"/>
      <c r="E11" s="37"/>
      <c r="F11" s="25"/>
      <c r="G11" s="26"/>
      <c r="H11" s="25"/>
      <c r="I11" s="26"/>
      <c r="J11" s="27"/>
      <c r="K11" s="30">
        <f t="shared" si="0"/>
        <v>0</v>
      </c>
      <c r="L11" s="38"/>
    </row>
    <row r="12" spans="1:12" ht="18" x14ac:dyDescent="0.35">
      <c r="A12" s="32"/>
      <c r="B12" s="33"/>
      <c r="C12" s="34"/>
      <c r="D12" s="25"/>
      <c r="E12" s="37"/>
      <c r="F12" s="25"/>
      <c r="G12" s="26"/>
      <c r="H12" s="25"/>
      <c r="I12" s="26"/>
      <c r="J12" s="27"/>
      <c r="K12" s="30">
        <f t="shared" si="0"/>
        <v>0</v>
      </c>
      <c r="L12" s="38"/>
    </row>
    <row r="13" spans="1:12" ht="18" x14ac:dyDescent="0.35">
      <c r="A13" s="32"/>
      <c r="B13" s="33"/>
      <c r="C13" s="34"/>
      <c r="D13" s="25"/>
      <c r="E13" s="37"/>
      <c r="F13" s="25"/>
      <c r="G13" s="26"/>
      <c r="H13" s="25"/>
      <c r="I13" s="26"/>
      <c r="J13" s="27"/>
      <c r="K13" s="30">
        <f t="shared" si="0"/>
        <v>0</v>
      </c>
      <c r="L13" s="38"/>
    </row>
    <row r="14" spans="1:12" ht="18" x14ac:dyDescent="0.35">
      <c r="A14" s="32"/>
      <c r="B14" s="33"/>
      <c r="C14" s="34"/>
      <c r="D14" s="25"/>
      <c r="E14" s="37"/>
      <c r="F14" s="25"/>
      <c r="G14" s="26"/>
      <c r="H14" s="25"/>
      <c r="I14" s="26"/>
      <c r="J14" s="27"/>
      <c r="K14" s="30">
        <f t="shared" si="0"/>
        <v>0</v>
      </c>
      <c r="L14" s="38"/>
    </row>
    <row r="15" spans="1:12" ht="18" x14ac:dyDescent="0.35">
      <c r="A15" s="32"/>
      <c r="B15" s="33"/>
      <c r="C15" s="34"/>
      <c r="D15" s="25"/>
      <c r="E15" s="37"/>
      <c r="F15" s="25"/>
      <c r="G15" s="26"/>
      <c r="H15" s="25"/>
      <c r="I15" s="26"/>
      <c r="J15" s="27"/>
      <c r="K15" s="30">
        <f t="shared" si="0"/>
        <v>0</v>
      </c>
      <c r="L15" s="38"/>
    </row>
    <row r="16" spans="1:12" ht="18" x14ac:dyDescent="0.35">
      <c r="A16" s="32"/>
      <c r="B16" s="33"/>
      <c r="C16" s="34"/>
      <c r="D16" s="25"/>
      <c r="E16" s="37"/>
      <c r="F16" s="25"/>
      <c r="G16" s="26"/>
      <c r="H16" s="25"/>
      <c r="I16" s="26"/>
      <c r="J16" s="27"/>
      <c r="K16" s="30">
        <f t="shared" si="0"/>
        <v>0</v>
      </c>
      <c r="L16" s="38"/>
    </row>
    <row r="17" spans="1:12" ht="18" x14ac:dyDescent="0.35">
      <c r="A17" s="32"/>
      <c r="B17" s="33"/>
      <c r="C17" s="34"/>
      <c r="D17" s="25"/>
      <c r="E17" s="37"/>
      <c r="F17" s="25"/>
      <c r="G17" s="26"/>
      <c r="H17" s="25"/>
      <c r="I17" s="26"/>
      <c r="J17" s="27"/>
      <c r="K17" s="30">
        <f t="shared" si="0"/>
        <v>0</v>
      </c>
      <c r="L17" s="38"/>
    </row>
    <row r="18" spans="1:12" ht="18" x14ac:dyDescent="0.35">
      <c r="A18" s="32"/>
      <c r="B18" s="33"/>
      <c r="C18" s="34"/>
      <c r="D18" s="25"/>
      <c r="E18" s="37"/>
      <c r="F18" s="25"/>
      <c r="G18" s="26"/>
      <c r="H18" s="25"/>
      <c r="I18" s="26"/>
      <c r="J18" s="27"/>
      <c r="K18" s="30">
        <f t="shared" si="0"/>
        <v>0</v>
      </c>
      <c r="L18" s="38"/>
    </row>
    <row r="19" spans="1:12" ht="18" x14ac:dyDescent="0.35">
      <c r="A19" s="32"/>
      <c r="B19" s="33"/>
      <c r="C19" s="34"/>
      <c r="D19" s="25"/>
      <c r="E19" s="37"/>
      <c r="F19" s="25"/>
      <c r="G19" s="26"/>
      <c r="H19" s="25"/>
      <c r="I19" s="26"/>
      <c r="J19" s="27"/>
      <c r="K19" s="30">
        <f t="shared" si="0"/>
        <v>0</v>
      </c>
      <c r="L19" s="38"/>
    </row>
    <row r="20" spans="1:12" ht="18" x14ac:dyDescent="0.35">
      <c r="A20" s="32"/>
      <c r="B20" s="33"/>
      <c r="C20" s="34"/>
      <c r="D20" s="25"/>
      <c r="E20" s="37"/>
      <c r="F20" s="25"/>
      <c r="G20" s="26"/>
      <c r="H20" s="25"/>
      <c r="I20" s="26"/>
      <c r="J20" s="27"/>
      <c r="K20" s="30">
        <f t="shared" si="0"/>
        <v>0</v>
      </c>
      <c r="L20" s="38"/>
    </row>
    <row r="21" spans="1:12" ht="18" x14ac:dyDescent="0.35">
      <c r="A21" s="32"/>
      <c r="B21" s="33"/>
      <c r="C21" s="34"/>
      <c r="D21" s="25"/>
      <c r="E21" s="37"/>
      <c r="F21" s="25"/>
      <c r="G21" s="26"/>
      <c r="H21" s="25"/>
      <c r="I21" s="26"/>
      <c r="J21" s="27"/>
      <c r="K21" s="30">
        <f t="shared" si="0"/>
        <v>0</v>
      </c>
      <c r="L21" s="38"/>
    </row>
    <row r="22" spans="1:12" ht="18" x14ac:dyDescent="0.35">
      <c r="A22" s="32"/>
      <c r="B22" s="33"/>
      <c r="C22" s="34"/>
      <c r="D22" s="25"/>
      <c r="E22" s="37"/>
      <c r="F22" s="25"/>
      <c r="G22" s="26"/>
      <c r="H22" s="25"/>
      <c r="I22" s="26"/>
      <c r="J22" s="27"/>
      <c r="K22" s="30">
        <f t="shared" si="0"/>
        <v>0</v>
      </c>
      <c r="L22" s="38"/>
    </row>
    <row r="23" spans="1:12" ht="18" x14ac:dyDescent="0.35">
      <c r="A23" s="32"/>
      <c r="B23" s="33"/>
      <c r="C23" s="34"/>
      <c r="D23" s="25"/>
      <c r="E23" s="37"/>
      <c r="F23" s="25"/>
      <c r="G23" s="26"/>
      <c r="H23" s="25"/>
      <c r="I23" s="26"/>
      <c r="J23" s="27"/>
      <c r="K23" s="30">
        <f t="shared" si="0"/>
        <v>0</v>
      </c>
      <c r="L23" s="38"/>
    </row>
    <row r="24" spans="1:12" ht="18" x14ac:dyDescent="0.35">
      <c r="A24" s="32"/>
      <c r="B24" s="33"/>
      <c r="C24" s="34"/>
      <c r="D24" s="25"/>
      <c r="E24" s="37"/>
      <c r="F24" s="25"/>
      <c r="G24" s="26"/>
      <c r="H24" s="25"/>
      <c r="I24" s="26"/>
      <c r="J24" s="27"/>
      <c r="K24" s="30">
        <f t="shared" si="0"/>
        <v>0</v>
      </c>
      <c r="L24" s="38"/>
    </row>
    <row r="25" spans="1:12" ht="18" x14ac:dyDescent="0.35">
      <c r="A25" s="32"/>
      <c r="B25" s="33"/>
      <c r="C25" s="34"/>
      <c r="D25" s="25"/>
      <c r="E25" s="37"/>
      <c r="F25" s="25"/>
      <c r="G25" s="26"/>
      <c r="H25" s="25"/>
      <c r="I25" s="26"/>
      <c r="J25" s="27"/>
      <c r="K25" s="30">
        <f t="shared" si="0"/>
        <v>0</v>
      </c>
      <c r="L25" s="38"/>
    </row>
    <row r="26" spans="1:12" ht="18" x14ac:dyDescent="0.35">
      <c r="A26" s="32"/>
      <c r="B26" s="33"/>
      <c r="C26" s="34"/>
      <c r="D26" s="25"/>
      <c r="E26" s="37"/>
      <c r="F26" s="25"/>
      <c r="G26" s="26"/>
      <c r="H26" s="25"/>
      <c r="I26" s="26"/>
      <c r="J26" s="27"/>
      <c r="K26" s="30">
        <f t="shared" si="0"/>
        <v>0</v>
      </c>
      <c r="L26" s="38"/>
    </row>
    <row r="27" spans="1:12" ht="18" x14ac:dyDescent="0.35">
      <c r="A27" s="32"/>
      <c r="B27" s="33"/>
      <c r="C27" s="35"/>
      <c r="D27" s="25"/>
      <c r="E27" s="37"/>
      <c r="F27" s="25"/>
      <c r="G27" s="26"/>
      <c r="H27" s="25"/>
      <c r="I27" s="26"/>
      <c r="J27" s="28"/>
      <c r="K27" s="30"/>
      <c r="L27" s="38"/>
    </row>
  </sheetData>
  <mergeCells count="9">
    <mergeCell ref="A3:A4"/>
    <mergeCell ref="B3:B4"/>
    <mergeCell ref="H3:H4"/>
    <mergeCell ref="I3:I4"/>
    <mergeCell ref="K3:K4"/>
    <mergeCell ref="D3:D4"/>
    <mergeCell ref="E3:E4"/>
    <mergeCell ref="F3:F4"/>
    <mergeCell ref="G3:G4"/>
  </mergeCells>
  <phoneticPr fontId="18" type="noConversion"/>
  <pageMargins left="0.7" right="0.7" top="0.75" bottom="0.75" header="0.3" footer="0.3"/>
  <pageSetup scale="66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27"/>
  <sheetViews>
    <sheetView topLeftCell="A2" workbookViewId="0">
      <selection activeCell="A5" sqref="A5"/>
    </sheetView>
  </sheetViews>
  <sheetFormatPr defaultColWidth="13" defaultRowHeight="14.4" x14ac:dyDescent="0.3"/>
  <cols>
    <col min="1" max="1" width="16.5546875" bestFit="1" customWidth="1"/>
    <col min="2" max="2" width="28.5546875" bestFit="1" customWidth="1"/>
    <col min="3" max="3" width="5.5546875" customWidth="1"/>
    <col min="4" max="4" width="17.88671875" bestFit="1" customWidth="1"/>
    <col min="5" max="5" width="25.44140625" bestFit="1" customWidth="1"/>
    <col min="6" max="6" width="16.109375" customWidth="1"/>
    <col min="7" max="7" width="13.44140625" bestFit="1" customWidth="1"/>
    <col min="8" max="8" width="16.88671875" customWidth="1"/>
    <col min="9" max="9" width="14.88671875" bestFit="1" customWidth="1"/>
    <col min="10" max="10" width="5.88671875" customWidth="1"/>
    <col min="11" max="11" width="11" bestFit="1" customWidth="1"/>
    <col min="12" max="12" width="16.5546875" customWidth="1"/>
  </cols>
  <sheetData>
    <row r="1" spans="1:12" ht="25.8" x14ac:dyDescent="0.5">
      <c r="A1" s="1" t="s">
        <v>0</v>
      </c>
      <c r="B1" s="2" t="s">
        <v>464</v>
      </c>
    </row>
    <row r="2" spans="1:12" ht="25.8" x14ac:dyDescent="0.5">
      <c r="A2" s="1" t="s">
        <v>1</v>
      </c>
      <c r="B2" s="2" t="s">
        <v>321</v>
      </c>
    </row>
    <row r="3" spans="1:12" ht="14.4" customHeight="1" x14ac:dyDescent="0.3">
      <c r="A3" s="73" t="s">
        <v>2</v>
      </c>
      <c r="B3" s="73" t="s">
        <v>3</v>
      </c>
      <c r="C3" s="9"/>
      <c r="D3" s="75" t="s">
        <v>179</v>
      </c>
      <c r="E3" s="69" t="s">
        <v>159</v>
      </c>
      <c r="F3" s="72" t="s">
        <v>177</v>
      </c>
      <c r="G3" s="69" t="s">
        <v>463</v>
      </c>
      <c r="H3" s="72" t="s">
        <v>160</v>
      </c>
      <c r="I3" s="69" t="s">
        <v>163</v>
      </c>
      <c r="J3" s="9"/>
      <c r="K3" s="70" t="s">
        <v>4</v>
      </c>
    </row>
    <row r="4" spans="1:12" ht="27" customHeight="1" x14ac:dyDescent="0.3">
      <c r="A4" s="74"/>
      <c r="B4" s="74"/>
      <c r="C4" s="10"/>
      <c r="D4" s="76"/>
      <c r="E4" s="69"/>
      <c r="F4" s="72"/>
      <c r="G4" s="69"/>
      <c r="H4" s="72"/>
      <c r="I4" s="69"/>
      <c r="J4" s="10"/>
      <c r="K4" s="71"/>
    </row>
    <row r="5" spans="1:12" ht="18" x14ac:dyDescent="0.35">
      <c r="A5" s="32"/>
      <c r="B5" s="33"/>
      <c r="C5" s="34"/>
      <c r="D5" s="36"/>
      <c r="E5" s="37"/>
      <c r="F5" s="41"/>
      <c r="G5" s="42"/>
      <c r="H5" s="41"/>
      <c r="I5" s="42"/>
      <c r="J5" s="27"/>
      <c r="K5" s="30">
        <f>(D5*4)+E5+(F5*2)+(G5*10/6)+(H5*15/10)+(I5*3/10)</f>
        <v>0</v>
      </c>
      <c r="L5" s="38"/>
    </row>
    <row r="6" spans="1:12" ht="18" x14ac:dyDescent="0.35">
      <c r="A6" s="32"/>
      <c r="B6" s="33"/>
      <c r="C6" s="34"/>
      <c r="D6" s="41"/>
      <c r="E6" s="37"/>
      <c r="F6" s="41"/>
      <c r="G6" s="42"/>
      <c r="H6" s="41"/>
      <c r="I6" s="42"/>
      <c r="J6" s="27"/>
      <c r="K6" s="30">
        <f t="shared" ref="K6:K26" si="0">(D6*4)+E6+(F6*2)+(G6*10/6)+(H6*15/10)+(I6*3/10)</f>
        <v>0</v>
      </c>
      <c r="L6" s="38"/>
    </row>
    <row r="7" spans="1:12" ht="18" x14ac:dyDescent="0.35">
      <c r="A7" s="32"/>
      <c r="B7" s="33"/>
      <c r="C7" s="34"/>
      <c r="D7" s="41"/>
      <c r="E7" s="37"/>
      <c r="F7" s="41"/>
      <c r="G7" s="42"/>
      <c r="H7" s="41"/>
      <c r="I7" s="42"/>
      <c r="J7" s="27"/>
      <c r="K7" s="30">
        <f t="shared" si="0"/>
        <v>0</v>
      </c>
      <c r="L7" s="38"/>
    </row>
    <row r="8" spans="1:12" ht="18" x14ac:dyDescent="0.35">
      <c r="A8" s="32"/>
      <c r="B8" s="33"/>
      <c r="C8" s="34"/>
      <c r="D8" s="41"/>
      <c r="E8" s="37"/>
      <c r="F8" s="41"/>
      <c r="G8" s="42"/>
      <c r="H8" s="41"/>
      <c r="I8" s="42"/>
      <c r="J8" s="27"/>
      <c r="K8" s="30">
        <f t="shared" si="0"/>
        <v>0</v>
      </c>
      <c r="L8" s="38"/>
    </row>
    <row r="9" spans="1:12" ht="18" x14ac:dyDescent="0.35">
      <c r="A9" s="32"/>
      <c r="B9" s="33"/>
      <c r="C9" s="34"/>
      <c r="D9" s="41"/>
      <c r="E9" s="37"/>
      <c r="F9" s="41"/>
      <c r="G9" s="42"/>
      <c r="H9" s="41"/>
      <c r="I9" s="42"/>
      <c r="J9" s="27"/>
      <c r="K9" s="30">
        <f t="shared" si="0"/>
        <v>0</v>
      </c>
      <c r="L9" s="38"/>
    </row>
    <row r="10" spans="1:12" ht="18" x14ac:dyDescent="0.35">
      <c r="A10" s="32"/>
      <c r="B10" s="33"/>
      <c r="C10" s="34"/>
      <c r="D10" s="41"/>
      <c r="E10" s="37"/>
      <c r="F10" s="41"/>
      <c r="G10" s="42"/>
      <c r="H10" s="41"/>
      <c r="I10" s="42"/>
      <c r="J10" s="27"/>
      <c r="K10" s="30">
        <f t="shared" si="0"/>
        <v>0</v>
      </c>
      <c r="L10" s="38"/>
    </row>
    <row r="11" spans="1:12" ht="18" x14ac:dyDescent="0.35">
      <c r="A11" s="32"/>
      <c r="B11" s="33"/>
      <c r="C11" s="34"/>
      <c r="D11" s="41"/>
      <c r="E11" s="37"/>
      <c r="F11" s="41"/>
      <c r="G11" s="42"/>
      <c r="H11" s="41"/>
      <c r="I11" s="42"/>
      <c r="J11" s="27"/>
      <c r="K11" s="30">
        <f t="shared" si="0"/>
        <v>0</v>
      </c>
      <c r="L11" s="38"/>
    </row>
    <row r="12" spans="1:12" ht="18" x14ac:dyDescent="0.35">
      <c r="A12" s="32"/>
      <c r="B12" s="33"/>
      <c r="C12" s="34"/>
      <c r="D12" s="41"/>
      <c r="E12" s="37"/>
      <c r="F12" s="41"/>
      <c r="G12" s="42"/>
      <c r="H12" s="41"/>
      <c r="I12" s="42"/>
      <c r="J12" s="27"/>
      <c r="K12" s="30">
        <f t="shared" si="0"/>
        <v>0</v>
      </c>
      <c r="L12" s="38"/>
    </row>
    <row r="13" spans="1:12" ht="18" x14ac:dyDescent="0.35">
      <c r="A13" s="32"/>
      <c r="B13" s="33"/>
      <c r="C13" s="34"/>
      <c r="D13" s="41"/>
      <c r="E13" s="37"/>
      <c r="F13" s="41"/>
      <c r="G13" s="42"/>
      <c r="H13" s="41"/>
      <c r="I13" s="42"/>
      <c r="J13" s="27"/>
      <c r="K13" s="30">
        <f t="shared" si="0"/>
        <v>0</v>
      </c>
      <c r="L13" s="38"/>
    </row>
    <row r="14" spans="1:12" ht="18" x14ac:dyDescent="0.35">
      <c r="A14" s="32"/>
      <c r="B14" s="33"/>
      <c r="C14" s="34"/>
      <c r="D14" s="41"/>
      <c r="E14" s="37"/>
      <c r="F14" s="41"/>
      <c r="G14" s="42"/>
      <c r="H14" s="41"/>
      <c r="I14" s="42"/>
      <c r="J14" s="27"/>
      <c r="K14" s="30">
        <f t="shared" si="0"/>
        <v>0</v>
      </c>
      <c r="L14" s="38"/>
    </row>
    <row r="15" spans="1:12" ht="18" x14ac:dyDescent="0.35">
      <c r="A15" s="32"/>
      <c r="B15" s="33"/>
      <c r="C15" s="34"/>
      <c r="D15" s="41"/>
      <c r="E15" s="37"/>
      <c r="F15" s="41"/>
      <c r="G15" s="42"/>
      <c r="H15" s="41"/>
      <c r="I15" s="42"/>
      <c r="J15" s="27"/>
      <c r="K15" s="30">
        <f t="shared" si="0"/>
        <v>0</v>
      </c>
      <c r="L15" s="38"/>
    </row>
    <row r="16" spans="1:12" ht="18" x14ac:dyDescent="0.35">
      <c r="A16" s="32"/>
      <c r="B16" s="33"/>
      <c r="C16" s="34"/>
      <c r="D16" s="41"/>
      <c r="E16" s="37"/>
      <c r="F16" s="41"/>
      <c r="G16" s="42"/>
      <c r="H16" s="41"/>
      <c r="I16" s="42"/>
      <c r="J16" s="27"/>
      <c r="K16" s="30">
        <f t="shared" si="0"/>
        <v>0</v>
      </c>
      <c r="L16" s="38"/>
    </row>
    <row r="17" spans="1:12" ht="18" x14ac:dyDescent="0.35">
      <c r="A17" s="32"/>
      <c r="B17" s="33"/>
      <c r="C17" s="34"/>
      <c r="D17" s="41"/>
      <c r="E17" s="37"/>
      <c r="F17" s="41"/>
      <c r="G17" s="42"/>
      <c r="H17" s="41"/>
      <c r="I17" s="42"/>
      <c r="J17" s="27"/>
      <c r="K17" s="30">
        <f t="shared" si="0"/>
        <v>0</v>
      </c>
      <c r="L17" s="38"/>
    </row>
    <row r="18" spans="1:12" ht="18" x14ac:dyDescent="0.35">
      <c r="A18" s="32"/>
      <c r="B18" s="33"/>
      <c r="C18" s="34"/>
      <c r="D18" s="41"/>
      <c r="E18" s="37"/>
      <c r="F18" s="41"/>
      <c r="G18" s="42"/>
      <c r="H18" s="41"/>
      <c r="I18" s="42"/>
      <c r="J18" s="27"/>
      <c r="K18" s="30">
        <f t="shared" si="0"/>
        <v>0</v>
      </c>
      <c r="L18" s="38"/>
    </row>
    <row r="19" spans="1:12" ht="18" x14ac:dyDescent="0.35">
      <c r="A19" s="32"/>
      <c r="B19" s="33"/>
      <c r="C19" s="34"/>
      <c r="D19" s="41"/>
      <c r="E19" s="37"/>
      <c r="F19" s="41"/>
      <c r="G19" s="42"/>
      <c r="H19" s="41"/>
      <c r="I19" s="42"/>
      <c r="J19" s="27"/>
      <c r="K19" s="30">
        <f t="shared" si="0"/>
        <v>0</v>
      </c>
      <c r="L19" s="38"/>
    </row>
    <row r="20" spans="1:12" ht="18" x14ac:dyDescent="0.35">
      <c r="A20" s="32"/>
      <c r="B20" s="33"/>
      <c r="C20" s="34"/>
      <c r="D20" s="41"/>
      <c r="E20" s="37"/>
      <c r="F20" s="41"/>
      <c r="G20" s="42"/>
      <c r="H20" s="41"/>
      <c r="I20" s="42"/>
      <c r="J20" s="27"/>
      <c r="K20" s="30">
        <f t="shared" si="0"/>
        <v>0</v>
      </c>
      <c r="L20" s="38"/>
    </row>
    <row r="21" spans="1:12" ht="18" x14ac:dyDescent="0.35">
      <c r="A21" s="32"/>
      <c r="B21" s="33"/>
      <c r="C21" s="34"/>
      <c r="D21" s="41"/>
      <c r="E21" s="37"/>
      <c r="F21" s="41"/>
      <c r="G21" s="42"/>
      <c r="H21" s="41"/>
      <c r="I21" s="42"/>
      <c r="J21" s="27"/>
      <c r="K21" s="30">
        <f t="shared" si="0"/>
        <v>0</v>
      </c>
      <c r="L21" s="38"/>
    </row>
    <row r="22" spans="1:12" ht="18" x14ac:dyDescent="0.35">
      <c r="A22" s="32"/>
      <c r="B22" s="33"/>
      <c r="C22" s="34"/>
      <c r="D22" s="41"/>
      <c r="E22" s="37"/>
      <c r="F22" s="41"/>
      <c r="G22" s="42"/>
      <c r="H22" s="41"/>
      <c r="I22" s="42"/>
      <c r="J22" s="27"/>
      <c r="K22" s="30">
        <f t="shared" si="0"/>
        <v>0</v>
      </c>
      <c r="L22" s="38"/>
    </row>
    <row r="23" spans="1:12" ht="18" x14ac:dyDescent="0.35">
      <c r="A23" s="32"/>
      <c r="B23" s="33"/>
      <c r="C23" s="34"/>
      <c r="D23" s="41"/>
      <c r="E23" s="37"/>
      <c r="F23" s="41"/>
      <c r="G23" s="42"/>
      <c r="H23" s="41"/>
      <c r="I23" s="42"/>
      <c r="J23" s="27"/>
      <c r="K23" s="30">
        <f t="shared" si="0"/>
        <v>0</v>
      </c>
      <c r="L23" s="38"/>
    </row>
    <row r="24" spans="1:12" ht="18" x14ac:dyDescent="0.35">
      <c r="A24" s="32"/>
      <c r="B24" s="33"/>
      <c r="C24" s="34"/>
      <c r="D24" s="41"/>
      <c r="E24" s="37"/>
      <c r="F24" s="41"/>
      <c r="G24" s="42"/>
      <c r="H24" s="41"/>
      <c r="I24" s="42"/>
      <c r="J24" s="27"/>
      <c r="K24" s="30">
        <f t="shared" si="0"/>
        <v>0</v>
      </c>
      <c r="L24" s="38"/>
    </row>
    <row r="25" spans="1:12" ht="18" x14ac:dyDescent="0.35">
      <c r="A25" s="32"/>
      <c r="B25" s="33"/>
      <c r="C25" s="34"/>
      <c r="D25" s="41"/>
      <c r="E25" s="37"/>
      <c r="F25" s="41"/>
      <c r="G25" s="42"/>
      <c r="H25" s="41"/>
      <c r="I25" s="42"/>
      <c r="J25" s="27"/>
      <c r="K25" s="30">
        <f t="shared" si="0"/>
        <v>0</v>
      </c>
      <c r="L25" s="38"/>
    </row>
    <row r="26" spans="1:12" ht="18" x14ac:dyDescent="0.35">
      <c r="A26" s="32"/>
      <c r="B26" s="33"/>
      <c r="C26" s="34"/>
      <c r="D26" s="41"/>
      <c r="E26" s="37"/>
      <c r="F26" s="41"/>
      <c r="G26" s="42"/>
      <c r="H26" s="41"/>
      <c r="I26" s="42"/>
      <c r="J26" s="27"/>
      <c r="K26" s="30">
        <f t="shared" si="0"/>
        <v>0</v>
      </c>
      <c r="L26" s="38"/>
    </row>
    <row r="27" spans="1:12" ht="18" x14ac:dyDescent="0.35">
      <c r="A27" s="32"/>
      <c r="B27" s="33"/>
      <c r="C27" s="35"/>
      <c r="D27" s="41"/>
      <c r="E27" s="37"/>
      <c r="F27" s="41"/>
      <c r="G27" s="42"/>
      <c r="H27" s="41"/>
      <c r="I27" s="42"/>
      <c r="J27" s="28"/>
      <c r="K27" s="30"/>
      <c r="L27" s="38"/>
    </row>
  </sheetData>
  <mergeCells count="9">
    <mergeCell ref="H3:H4"/>
    <mergeCell ref="I3:I4"/>
    <mergeCell ref="K3:K4"/>
    <mergeCell ref="A3:A4"/>
    <mergeCell ref="B3:B4"/>
    <mergeCell ref="D3:D4"/>
    <mergeCell ref="E3:E4"/>
    <mergeCell ref="F3:F4"/>
    <mergeCell ref="G3:G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K25"/>
  <sheetViews>
    <sheetView zoomScale="90" zoomScaleNormal="90" zoomScalePageLayoutView="90" workbookViewId="0">
      <selection activeCell="C5" sqref="C5"/>
    </sheetView>
  </sheetViews>
  <sheetFormatPr defaultColWidth="13" defaultRowHeight="14.4" x14ac:dyDescent="0.3"/>
  <cols>
    <col min="1" max="1" width="15.109375" bestFit="1" customWidth="1"/>
    <col min="2" max="2" width="32.88671875" bestFit="1" customWidth="1"/>
    <col min="3" max="3" width="12.109375" customWidth="1"/>
    <col min="4" max="4" width="12.88671875" customWidth="1"/>
    <col min="5" max="5" width="25.44140625" bestFit="1" customWidth="1"/>
    <col min="6" max="6" width="13.5546875" customWidth="1"/>
    <col min="7" max="7" width="17.109375" customWidth="1"/>
    <col min="8" max="8" width="14.44140625" customWidth="1"/>
    <col min="9" max="9" width="12.44140625" customWidth="1"/>
    <col min="10" max="10" width="9.109375" customWidth="1"/>
    <col min="11" max="11" width="15.44140625" bestFit="1" customWidth="1"/>
    <col min="12" max="12" width="16.5546875" customWidth="1"/>
  </cols>
  <sheetData>
    <row r="1" spans="1:11" ht="25.8" x14ac:dyDescent="0.5">
      <c r="A1" s="1" t="s">
        <v>0</v>
      </c>
      <c r="B1" s="2" t="s">
        <v>251</v>
      </c>
    </row>
    <row r="2" spans="1:11" ht="25.8" x14ac:dyDescent="0.5">
      <c r="A2" s="1" t="s">
        <v>1</v>
      </c>
      <c r="B2" s="2" t="s">
        <v>321</v>
      </c>
    </row>
    <row r="3" spans="1:11" ht="14.4" customHeight="1" x14ac:dyDescent="0.3">
      <c r="A3" s="73" t="s">
        <v>2</v>
      </c>
      <c r="B3" s="73" t="s">
        <v>3</v>
      </c>
      <c r="C3" s="69" t="s">
        <v>160</v>
      </c>
      <c r="D3" s="75" t="s">
        <v>258</v>
      </c>
      <c r="E3" s="69" t="s">
        <v>252</v>
      </c>
      <c r="F3" s="72" t="s">
        <v>177</v>
      </c>
      <c r="G3" s="69" t="s">
        <v>253</v>
      </c>
      <c r="H3" s="72" t="s">
        <v>254</v>
      </c>
      <c r="I3" s="69" t="s">
        <v>255</v>
      </c>
      <c r="J3" s="9"/>
      <c r="K3" s="70" t="s">
        <v>4</v>
      </c>
    </row>
    <row r="4" spans="1:11" ht="24.9" customHeight="1" x14ac:dyDescent="0.3">
      <c r="A4" s="74"/>
      <c r="B4" s="74"/>
      <c r="C4" s="69"/>
      <c r="D4" s="76"/>
      <c r="E4" s="69"/>
      <c r="F4" s="72"/>
      <c r="G4" s="69"/>
      <c r="H4" s="72"/>
      <c r="I4" s="69"/>
      <c r="J4" s="10"/>
      <c r="K4" s="71"/>
    </row>
    <row r="5" spans="1:11" ht="18" x14ac:dyDescent="0.35">
      <c r="A5" s="32"/>
      <c r="B5" s="33"/>
      <c r="C5" s="24"/>
      <c r="D5" s="23"/>
      <c r="E5" s="24"/>
      <c r="F5" s="25"/>
      <c r="G5" s="26"/>
      <c r="H5" s="25"/>
      <c r="I5" s="26"/>
      <c r="J5" s="27"/>
      <c r="K5" s="30">
        <f>C5*2+(D5*10/7)+E5+F5*2+G5+H5+I5*4</f>
        <v>0</v>
      </c>
    </row>
    <row r="6" spans="1:11" ht="18" x14ac:dyDescent="0.35">
      <c r="A6" s="32"/>
      <c r="B6" s="33"/>
      <c r="C6" s="26"/>
      <c r="D6" s="25"/>
      <c r="E6" s="26"/>
      <c r="F6" s="25"/>
      <c r="G6" s="26"/>
      <c r="H6" s="25"/>
      <c r="I6" s="26"/>
      <c r="J6" s="27"/>
      <c r="K6" s="30">
        <f t="shared" ref="K6:K24" si="0">C6*2+(D6*10/7)+E6+F6*2+G6+H6+I6*4</f>
        <v>0</v>
      </c>
    </row>
    <row r="7" spans="1:11" ht="18" x14ac:dyDescent="0.35">
      <c r="A7" s="32"/>
      <c r="B7" s="33"/>
      <c r="C7" s="26"/>
      <c r="D7" s="25"/>
      <c r="E7" s="26"/>
      <c r="F7" s="25"/>
      <c r="G7" s="26"/>
      <c r="H7" s="25"/>
      <c r="I7" s="26"/>
      <c r="J7" s="27"/>
      <c r="K7" s="30">
        <f t="shared" si="0"/>
        <v>0</v>
      </c>
    </row>
    <row r="8" spans="1:11" ht="18" x14ac:dyDescent="0.35">
      <c r="A8" s="32"/>
      <c r="B8" s="33"/>
      <c r="C8" s="26"/>
      <c r="D8" s="25"/>
      <c r="E8" s="26"/>
      <c r="F8" s="25"/>
      <c r="G8" s="26"/>
      <c r="H8" s="25"/>
      <c r="I8" s="26"/>
      <c r="J8" s="27"/>
      <c r="K8" s="30">
        <f t="shared" si="0"/>
        <v>0</v>
      </c>
    </row>
    <row r="9" spans="1:11" ht="18" x14ac:dyDescent="0.35">
      <c r="A9" s="32"/>
      <c r="B9" s="33"/>
      <c r="C9" s="26"/>
      <c r="D9" s="25"/>
      <c r="E9" s="26"/>
      <c r="F9" s="25"/>
      <c r="G9" s="26"/>
      <c r="H9" s="25"/>
      <c r="I9" s="26"/>
      <c r="J9" s="27"/>
      <c r="K9" s="30">
        <f t="shared" si="0"/>
        <v>0</v>
      </c>
    </row>
    <row r="10" spans="1:11" ht="18" x14ac:dyDescent="0.35">
      <c r="A10" s="32"/>
      <c r="B10" s="33"/>
      <c r="C10" s="26"/>
      <c r="D10" s="25"/>
      <c r="E10" s="26"/>
      <c r="F10" s="25"/>
      <c r="G10" s="26"/>
      <c r="H10" s="25"/>
      <c r="I10" s="26"/>
      <c r="J10" s="27"/>
      <c r="K10" s="30">
        <f t="shared" si="0"/>
        <v>0</v>
      </c>
    </row>
    <row r="11" spans="1:11" ht="18" x14ac:dyDescent="0.35">
      <c r="A11" s="32"/>
      <c r="B11" s="33"/>
      <c r="C11" s="26"/>
      <c r="D11" s="25"/>
      <c r="E11" s="26"/>
      <c r="F11" s="25"/>
      <c r="G11" s="26"/>
      <c r="H11" s="25"/>
      <c r="I11" s="26"/>
      <c r="J11" s="27"/>
      <c r="K11" s="30">
        <f t="shared" si="0"/>
        <v>0</v>
      </c>
    </row>
    <row r="12" spans="1:11" ht="18" x14ac:dyDescent="0.35">
      <c r="A12" s="32"/>
      <c r="B12" s="33"/>
      <c r="C12" s="26"/>
      <c r="D12" s="25"/>
      <c r="E12" s="26"/>
      <c r="F12" s="25"/>
      <c r="G12" s="26"/>
      <c r="H12" s="25"/>
      <c r="I12" s="26"/>
      <c r="J12" s="27"/>
      <c r="K12" s="30">
        <f t="shared" si="0"/>
        <v>0</v>
      </c>
    </row>
    <row r="13" spans="1:11" ht="18" x14ac:dyDescent="0.35">
      <c r="A13" s="32"/>
      <c r="B13" s="33"/>
      <c r="C13" s="26"/>
      <c r="D13" s="25"/>
      <c r="E13" s="26"/>
      <c r="F13" s="25"/>
      <c r="G13" s="26"/>
      <c r="H13" s="25"/>
      <c r="I13" s="26"/>
      <c r="J13" s="27"/>
      <c r="K13" s="30">
        <f t="shared" si="0"/>
        <v>0</v>
      </c>
    </row>
    <row r="14" spans="1:11" ht="18" x14ac:dyDescent="0.35">
      <c r="A14" s="32"/>
      <c r="B14" s="33"/>
      <c r="C14" s="26"/>
      <c r="D14" s="25"/>
      <c r="E14" s="26"/>
      <c r="F14" s="25"/>
      <c r="G14" s="26"/>
      <c r="H14" s="25"/>
      <c r="I14" s="26"/>
      <c r="J14" s="27"/>
      <c r="K14" s="30">
        <f t="shared" si="0"/>
        <v>0</v>
      </c>
    </row>
    <row r="15" spans="1:11" ht="18" x14ac:dyDescent="0.35">
      <c r="A15" s="32"/>
      <c r="B15" s="33"/>
      <c r="C15" s="26"/>
      <c r="D15" s="25"/>
      <c r="E15" s="26"/>
      <c r="F15" s="25"/>
      <c r="G15" s="26"/>
      <c r="H15" s="25"/>
      <c r="I15" s="26"/>
      <c r="J15" s="27"/>
      <c r="K15" s="30">
        <f t="shared" si="0"/>
        <v>0</v>
      </c>
    </row>
    <row r="16" spans="1:11" ht="18" x14ac:dyDescent="0.35">
      <c r="A16" s="32"/>
      <c r="B16" s="33"/>
      <c r="C16" s="26"/>
      <c r="D16" s="25"/>
      <c r="E16" s="26"/>
      <c r="F16" s="25"/>
      <c r="G16" s="26"/>
      <c r="H16" s="25"/>
      <c r="I16" s="26"/>
      <c r="J16" s="27"/>
      <c r="K16" s="30">
        <f t="shared" si="0"/>
        <v>0</v>
      </c>
    </row>
    <row r="17" spans="1:11" ht="18" x14ac:dyDescent="0.35">
      <c r="A17" s="32"/>
      <c r="B17" s="33"/>
      <c r="C17" s="26"/>
      <c r="D17" s="25"/>
      <c r="E17" s="26"/>
      <c r="F17" s="25"/>
      <c r="G17" s="26"/>
      <c r="H17" s="25"/>
      <c r="I17" s="26"/>
      <c r="J17" s="27"/>
      <c r="K17" s="30">
        <f t="shared" si="0"/>
        <v>0</v>
      </c>
    </row>
    <row r="18" spans="1:11" ht="18" x14ac:dyDescent="0.35">
      <c r="A18" s="32"/>
      <c r="B18" s="33"/>
      <c r="C18" s="26"/>
      <c r="D18" s="25"/>
      <c r="E18" s="26"/>
      <c r="F18" s="25"/>
      <c r="G18" s="26"/>
      <c r="H18" s="25"/>
      <c r="I18" s="26"/>
      <c r="J18" s="27"/>
      <c r="K18" s="30">
        <f t="shared" si="0"/>
        <v>0</v>
      </c>
    </row>
    <row r="19" spans="1:11" ht="18" x14ac:dyDescent="0.35">
      <c r="A19" s="32"/>
      <c r="B19" s="33"/>
      <c r="C19" s="26"/>
      <c r="D19" s="25"/>
      <c r="E19" s="26"/>
      <c r="F19" s="25"/>
      <c r="G19" s="26"/>
      <c r="H19" s="25"/>
      <c r="I19" s="26"/>
      <c r="J19" s="27"/>
      <c r="K19" s="30">
        <f t="shared" si="0"/>
        <v>0</v>
      </c>
    </row>
    <row r="20" spans="1:11" ht="18" x14ac:dyDescent="0.35">
      <c r="A20" s="32"/>
      <c r="B20" s="33"/>
      <c r="C20" s="26"/>
      <c r="D20" s="25"/>
      <c r="E20" s="26"/>
      <c r="F20" s="25"/>
      <c r="G20" s="26"/>
      <c r="H20" s="25"/>
      <c r="I20" s="26"/>
      <c r="J20" s="27"/>
      <c r="K20" s="30">
        <f t="shared" si="0"/>
        <v>0</v>
      </c>
    </row>
    <row r="21" spans="1:11" ht="18" x14ac:dyDescent="0.35">
      <c r="A21" s="32"/>
      <c r="B21" s="33"/>
      <c r="C21" s="26"/>
      <c r="D21" s="25"/>
      <c r="E21" s="26"/>
      <c r="F21" s="25"/>
      <c r="G21" s="26"/>
      <c r="H21" s="25"/>
      <c r="I21" s="26"/>
      <c r="J21" s="27"/>
      <c r="K21" s="30">
        <f t="shared" si="0"/>
        <v>0</v>
      </c>
    </row>
    <row r="22" spans="1:11" ht="18" x14ac:dyDescent="0.35">
      <c r="A22" s="32"/>
      <c r="B22" s="33"/>
      <c r="C22" s="26"/>
      <c r="D22" s="25"/>
      <c r="E22" s="26"/>
      <c r="F22" s="25"/>
      <c r="G22" s="26"/>
      <c r="H22" s="25"/>
      <c r="I22" s="26"/>
      <c r="J22" s="27"/>
      <c r="K22" s="30">
        <f t="shared" si="0"/>
        <v>0</v>
      </c>
    </row>
    <row r="23" spans="1:11" ht="18" x14ac:dyDescent="0.35">
      <c r="A23" s="32"/>
      <c r="B23" s="33"/>
      <c r="C23" s="26"/>
      <c r="D23" s="25"/>
      <c r="E23" s="26"/>
      <c r="F23" s="25"/>
      <c r="G23" s="26"/>
      <c r="H23" s="25"/>
      <c r="I23" s="26"/>
      <c r="J23" s="27"/>
      <c r="K23" s="30">
        <f t="shared" si="0"/>
        <v>0</v>
      </c>
    </row>
    <row r="24" spans="1:11" ht="18" x14ac:dyDescent="0.35">
      <c r="A24" s="32"/>
      <c r="B24" s="33"/>
      <c r="C24" s="26"/>
      <c r="D24" s="25"/>
      <c r="E24" s="26"/>
      <c r="F24" s="25"/>
      <c r="G24" s="26"/>
      <c r="H24" s="25"/>
      <c r="I24" s="26"/>
      <c r="J24" s="28"/>
      <c r="K24" s="30">
        <f t="shared" si="0"/>
        <v>0</v>
      </c>
    </row>
    <row r="25" spans="1:11" ht="18" x14ac:dyDescent="0.35">
      <c r="A25" s="32"/>
      <c r="B25" s="33"/>
      <c r="C25" s="42"/>
      <c r="D25" s="41"/>
      <c r="E25" s="42"/>
      <c r="F25" s="41"/>
      <c r="G25" s="42"/>
      <c r="H25" s="41"/>
      <c r="I25" s="42"/>
      <c r="J25" s="28"/>
      <c r="K25" s="30">
        <f t="shared" ref="K25" si="1">C25*2+(D25*10/7)+E25+F25*2+G25+H25+I25*4</f>
        <v>0</v>
      </c>
    </row>
  </sheetData>
  <mergeCells count="10">
    <mergeCell ref="H3:H4"/>
    <mergeCell ref="I3:I4"/>
    <mergeCell ref="K3:K4"/>
    <mergeCell ref="A3:A4"/>
    <mergeCell ref="B3:B4"/>
    <mergeCell ref="D3:D4"/>
    <mergeCell ref="E3:E4"/>
    <mergeCell ref="F3:F4"/>
    <mergeCell ref="G3:G4"/>
    <mergeCell ref="C3:C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19"/>
  <sheetViews>
    <sheetView zoomScaleNormal="100" workbookViewId="0">
      <selection activeCell="G26" sqref="G26"/>
    </sheetView>
  </sheetViews>
  <sheetFormatPr defaultColWidth="8.88671875" defaultRowHeight="14.4" x14ac:dyDescent="0.3"/>
  <cols>
    <col min="1" max="1" width="33" bestFit="1" customWidth="1"/>
    <col min="2" max="2" width="30" bestFit="1" customWidth="1"/>
  </cols>
  <sheetData>
    <row r="1" spans="1:2" x14ac:dyDescent="0.3">
      <c r="A1" s="4" t="s">
        <v>101</v>
      </c>
      <c r="B1" s="5" t="e">
        <f>VLOOKUP(B2,'Level 8'!A5:K464,2,FALSE)</f>
        <v>#N/A</v>
      </c>
    </row>
    <row r="2" spans="1:2" x14ac:dyDescent="0.3">
      <c r="A2" s="4" t="s">
        <v>102</v>
      </c>
      <c r="B2" s="8" t="s">
        <v>79</v>
      </c>
    </row>
    <row r="3" spans="1:2" ht="15.6" x14ac:dyDescent="0.3">
      <c r="A3" s="4" t="s">
        <v>103</v>
      </c>
      <c r="B3" s="6" t="e">
        <f>VLOOKUP(B2,Students!#REF!,2,FALSE)</f>
        <v>#REF!</v>
      </c>
    </row>
    <row r="4" spans="1:2" ht="15.6" x14ac:dyDescent="0.3">
      <c r="A4" s="4"/>
      <c r="B4" s="6"/>
    </row>
    <row r="5" spans="1:2" ht="15.6" x14ac:dyDescent="0.3">
      <c r="A5" s="4"/>
      <c r="B5" s="6"/>
    </row>
    <row r="6" spans="1:2" ht="15.6" x14ac:dyDescent="0.3">
      <c r="A6" s="4" t="s">
        <v>793</v>
      </c>
      <c r="B6" s="6"/>
    </row>
    <row r="7" spans="1:2" ht="18.600000000000001" thickBot="1" x14ac:dyDescent="0.35">
      <c r="A7" s="15" t="s">
        <v>251</v>
      </c>
      <c r="B7" s="7" t="s">
        <v>104</v>
      </c>
    </row>
    <row r="8" spans="1:2" ht="20.399999999999999" customHeight="1" thickTop="1" x14ac:dyDescent="0.3">
      <c r="A8" t="s">
        <v>160</v>
      </c>
      <c r="B8" s="13" t="e">
        <f>VLOOKUP(B2,'Level 8'!A5:K464,3,FALSE)</f>
        <v>#N/A</v>
      </c>
    </row>
    <row r="9" spans="1:2" ht="21" customHeight="1" x14ac:dyDescent="0.3">
      <c r="A9" t="s">
        <v>258</v>
      </c>
      <c r="B9" s="12" t="e">
        <f>VLOOKUP(B2,'Level 8'!A5:K464,4,FALSE)</f>
        <v>#N/A</v>
      </c>
    </row>
    <row r="10" spans="1:2" ht="19.649999999999999" customHeight="1" x14ac:dyDescent="0.3">
      <c r="A10" t="s">
        <v>252</v>
      </c>
      <c r="B10" s="12" t="e">
        <f>VLOOKUP(B2,'Level 8'!A5:K464,5,FALSE)</f>
        <v>#N/A</v>
      </c>
    </row>
    <row r="11" spans="1:2" ht="21" customHeight="1" x14ac:dyDescent="0.3">
      <c r="A11" t="s">
        <v>177</v>
      </c>
      <c r="B11" s="12" t="e">
        <f>VLOOKUP(B2,'Level 8'!A5:K464,6,FALSE)</f>
        <v>#N/A</v>
      </c>
    </row>
    <row r="12" spans="1:2" ht="19.649999999999999" customHeight="1" x14ac:dyDescent="0.3">
      <c r="A12" t="s">
        <v>253</v>
      </c>
      <c r="B12" s="12" t="e">
        <f>VLOOKUP(B2,'Level 8'!A5:K464,7,FALSE)</f>
        <v>#N/A</v>
      </c>
    </row>
    <row r="13" spans="1:2" ht="21" customHeight="1" x14ac:dyDescent="0.3">
      <c r="A13" t="s">
        <v>254</v>
      </c>
      <c r="B13" s="12" t="e">
        <f>VLOOKUP(B2,'Level 8'!A5:K464,8,FALSE)</f>
        <v>#N/A</v>
      </c>
    </row>
    <row r="14" spans="1:2" ht="15" thickBot="1" x14ac:dyDescent="0.35">
      <c r="A14" t="s">
        <v>255</v>
      </c>
      <c r="B14" s="14" t="e">
        <f>VLOOKUP(B2,'Level 8'!A5:K464,9,FALSE)</f>
        <v>#N/A</v>
      </c>
    </row>
    <row r="15" spans="1:2" ht="15" thickTop="1" x14ac:dyDescent="0.3">
      <c r="A15" s="16" t="s">
        <v>106</v>
      </c>
      <c r="B15" s="18" t="e">
        <f>VLOOKUP(B2,'Level 8'!A5:K464,11,FALSE)</f>
        <v>#N/A</v>
      </c>
    </row>
    <row r="17" spans="1:1" x14ac:dyDescent="0.3">
      <c r="A17" t="s">
        <v>107</v>
      </c>
    </row>
    <row r="19" spans="1:1" x14ac:dyDescent="0.3">
      <c r="A19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Marks_Level_8">
                <anchor moveWithCells="1" sizeWithCells="1">
                  <from>
                    <xdr:col>4</xdr:col>
                    <xdr:colOff>601980</xdr:colOff>
                    <xdr:row>0</xdr:row>
                    <xdr:rowOff>182880</xdr:rowOff>
                  </from>
                  <to>
                    <xdr:col>9</xdr:col>
                    <xdr:colOff>30480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K216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:A216"/>
    </sheetView>
  </sheetViews>
  <sheetFormatPr defaultColWidth="8.88671875" defaultRowHeight="14.4" x14ac:dyDescent="0.3"/>
  <cols>
    <col min="1" max="1" width="12" style="17" bestFit="1" customWidth="1"/>
    <col min="2" max="2" width="39.33203125" style="17" bestFit="1" customWidth="1"/>
    <col min="3" max="3" width="6.77734375" style="17" bestFit="1" customWidth="1"/>
    <col min="4" max="4" width="14.33203125" style="89" bestFit="1" customWidth="1"/>
    <col min="5" max="5" width="15.88671875" style="17" bestFit="1" customWidth="1"/>
    <col min="6" max="6" width="14.88671875" style="17" bestFit="1" customWidth="1"/>
    <col min="7" max="7" width="20.6640625" style="17" bestFit="1" customWidth="1"/>
    <col min="8" max="8" width="16" style="17" bestFit="1" customWidth="1"/>
    <col min="9" max="9" width="28.77734375" style="17" bestFit="1" customWidth="1"/>
    <col min="10" max="10" width="13.44140625" style="17" bestFit="1" customWidth="1"/>
  </cols>
  <sheetData>
    <row r="1" spans="1:11" s="50" customFormat="1" ht="18" x14ac:dyDescent="0.35">
      <c r="A1" s="81" t="s">
        <v>2</v>
      </c>
      <c r="B1" s="81" t="s">
        <v>3</v>
      </c>
      <c r="C1" s="82" t="s">
        <v>616</v>
      </c>
      <c r="D1" s="83" t="s">
        <v>2625</v>
      </c>
      <c r="E1" s="81" t="s">
        <v>2626</v>
      </c>
      <c r="F1" s="81" t="s">
        <v>2627</v>
      </c>
      <c r="G1" s="81" t="s">
        <v>2628</v>
      </c>
      <c r="H1" s="81" t="s">
        <v>2629</v>
      </c>
      <c r="I1" s="81" t="s">
        <v>2630</v>
      </c>
      <c r="J1" s="81" t="s">
        <v>4</v>
      </c>
    </row>
    <row r="2" spans="1:11" ht="15.6" x14ac:dyDescent="0.3">
      <c r="A2" s="84">
        <v>7491</v>
      </c>
      <c r="B2" s="85" t="s">
        <v>2552</v>
      </c>
      <c r="C2" s="86">
        <v>1</v>
      </c>
      <c r="D2" s="87">
        <v>6</v>
      </c>
      <c r="E2" s="87">
        <v>14</v>
      </c>
      <c r="F2" s="87">
        <v>9</v>
      </c>
      <c r="G2" s="87">
        <v>17</v>
      </c>
      <c r="H2" s="87">
        <v>8</v>
      </c>
      <c r="I2" s="87">
        <v>6</v>
      </c>
      <c r="J2" s="87">
        <v>60</v>
      </c>
      <c r="K2" s="68"/>
    </row>
    <row r="3" spans="1:11" ht="15.6" x14ac:dyDescent="0.3">
      <c r="A3" s="84">
        <v>6935</v>
      </c>
      <c r="B3" s="17" t="s">
        <v>2563</v>
      </c>
      <c r="C3" s="86">
        <v>1</v>
      </c>
      <c r="D3" s="87">
        <v>15</v>
      </c>
      <c r="E3" s="87">
        <v>12</v>
      </c>
      <c r="F3" s="87">
        <v>18</v>
      </c>
      <c r="G3" s="87">
        <v>14</v>
      </c>
      <c r="H3" s="87">
        <v>9</v>
      </c>
      <c r="I3" s="87">
        <v>9</v>
      </c>
      <c r="J3" s="87">
        <v>77</v>
      </c>
      <c r="K3" s="68"/>
    </row>
    <row r="4" spans="1:11" ht="15.6" x14ac:dyDescent="0.3">
      <c r="A4" s="84">
        <v>4934</v>
      </c>
      <c r="B4" s="17" t="s">
        <v>2560</v>
      </c>
      <c r="C4" s="86">
        <v>1</v>
      </c>
      <c r="D4" s="87">
        <v>18</v>
      </c>
      <c r="E4" s="87">
        <v>15</v>
      </c>
      <c r="F4" s="87">
        <v>17</v>
      </c>
      <c r="G4" s="87">
        <v>19</v>
      </c>
      <c r="H4" s="87">
        <v>7</v>
      </c>
      <c r="I4" s="87">
        <v>6</v>
      </c>
      <c r="J4" s="87">
        <v>82</v>
      </c>
      <c r="K4" s="68"/>
    </row>
    <row r="5" spans="1:11" ht="15.6" x14ac:dyDescent="0.3">
      <c r="A5" s="84">
        <v>8532</v>
      </c>
      <c r="B5" s="85" t="s">
        <v>2557</v>
      </c>
      <c r="C5" s="86">
        <v>1</v>
      </c>
      <c r="D5" s="87">
        <v>11</v>
      </c>
      <c r="E5" s="87">
        <v>11</v>
      </c>
      <c r="F5" s="87">
        <v>9</v>
      </c>
      <c r="G5" s="87">
        <v>17</v>
      </c>
      <c r="H5" s="87">
        <v>6</v>
      </c>
      <c r="I5" s="87">
        <v>6</v>
      </c>
      <c r="J5" s="87">
        <v>60</v>
      </c>
      <c r="K5" s="68"/>
    </row>
    <row r="6" spans="1:11" ht="15.6" x14ac:dyDescent="0.3">
      <c r="A6" s="84">
        <v>6847</v>
      </c>
      <c r="B6" s="85" t="s">
        <v>2556</v>
      </c>
      <c r="C6" s="86">
        <v>1</v>
      </c>
      <c r="D6" s="87">
        <v>19</v>
      </c>
      <c r="E6" s="87">
        <v>19</v>
      </c>
      <c r="F6" s="87">
        <v>10</v>
      </c>
      <c r="G6" s="87">
        <v>12</v>
      </c>
      <c r="H6" s="87">
        <v>10</v>
      </c>
      <c r="I6" s="87">
        <v>7</v>
      </c>
      <c r="J6" s="87">
        <v>77</v>
      </c>
      <c r="K6" s="68"/>
    </row>
    <row r="7" spans="1:11" ht="15.6" x14ac:dyDescent="0.3">
      <c r="A7" s="84">
        <v>3093</v>
      </c>
      <c r="B7" s="85" t="s">
        <v>2555</v>
      </c>
      <c r="C7" s="86">
        <v>1</v>
      </c>
      <c r="D7" s="87">
        <v>15</v>
      </c>
      <c r="E7" s="87">
        <v>10</v>
      </c>
      <c r="F7" s="87">
        <v>16</v>
      </c>
      <c r="G7" s="87">
        <v>7</v>
      </c>
      <c r="H7" s="87">
        <v>10</v>
      </c>
      <c r="I7" s="87">
        <v>8</v>
      </c>
      <c r="J7" s="87">
        <v>66</v>
      </c>
      <c r="K7" s="68"/>
    </row>
    <row r="8" spans="1:11" ht="15.6" x14ac:dyDescent="0.3">
      <c r="A8" s="84">
        <v>6478</v>
      </c>
      <c r="B8" s="17" t="s">
        <v>2562</v>
      </c>
      <c r="C8" s="86">
        <v>1</v>
      </c>
      <c r="D8" s="87">
        <v>12</v>
      </c>
      <c r="E8" s="87">
        <v>12</v>
      </c>
      <c r="F8" s="87">
        <v>9</v>
      </c>
      <c r="G8" s="87">
        <v>8</v>
      </c>
      <c r="H8" s="87">
        <v>10</v>
      </c>
      <c r="I8" s="87">
        <v>6</v>
      </c>
      <c r="J8" s="87">
        <v>57</v>
      </c>
      <c r="K8" s="68"/>
    </row>
    <row r="9" spans="1:11" ht="15.6" x14ac:dyDescent="0.3">
      <c r="A9" s="84">
        <v>3047</v>
      </c>
      <c r="B9" s="85" t="s">
        <v>2551</v>
      </c>
      <c r="C9" s="86">
        <v>1</v>
      </c>
      <c r="D9" s="87">
        <v>7</v>
      </c>
      <c r="E9" s="87">
        <v>6</v>
      </c>
      <c r="F9" s="87">
        <v>11</v>
      </c>
      <c r="G9" s="87">
        <v>11</v>
      </c>
      <c r="H9" s="87">
        <v>9</v>
      </c>
      <c r="I9" s="87">
        <v>8</v>
      </c>
      <c r="J9" s="87">
        <v>52</v>
      </c>
      <c r="K9" s="68"/>
    </row>
    <row r="10" spans="1:11" ht="15.6" x14ac:dyDescent="0.3">
      <c r="A10" s="84">
        <v>6705</v>
      </c>
      <c r="B10" s="17" t="s">
        <v>2561</v>
      </c>
      <c r="C10" s="86">
        <v>1</v>
      </c>
      <c r="D10" s="87">
        <v>8</v>
      </c>
      <c r="E10" s="87">
        <v>17</v>
      </c>
      <c r="F10" s="87">
        <v>18</v>
      </c>
      <c r="G10" s="87">
        <v>11</v>
      </c>
      <c r="H10" s="87">
        <v>6</v>
      </c>
      <c r="I10" s="87">
        <v>8</v>
      </c>
      <c r="J10" s="87">
        <v>68</v>
      </c>
      <c r="K10" s="68"/>
    </row>
    <row r="11" spans="1:11" ht="15.6" x14ac:dyDescent="0.3">
      <c r="A11" s="84">
        <v>5430</v>
      </c>
      <c r="B11" s="85" t="s">
        <v>2553</v>
      </c>
      <c r="C11" s="86">
        <v>1</v>
      </c>
      <c r="D11" s="87">
        <v>15</v>
      </c>
      <c r="E11" s="87">
        <v>14</v>
      </c>
      <c r="F11" s="87">
        <v>20</v>
      </c>
      <c r="G11" s="87">
        <v>16</v>
      </c>
      <c r="H11" s="87">
        <v>10</v>
      </c>
      <c r="I11" s="87">
        <v>10</v>
      </c>
      <c r="J11" s="87">
        <v>85</v>
      </c>
      <c r="K11" s="68"/>
    </row>
    <row r="12" spans="1:11" ht="15.6" x14ac:dyDescent="0.3">
      <c r="A12" s="84">
        <v>6976</v>
      </c>
      <c r="B12" s="17" t="s">
        <v>2559</v>
      </c>
      <c r="C12" s="86">
        <v>1</v>
      </c>
      <c r="D12" s="87">
        <v>10</v>
      </c>
      <c r="E12" s="87">
        <v>18</v>
      </c>
      <c r="F12" s="87">
        <v>20</v>
      </c>
      <c r="G12" s="87">
        <v>17</v>
      </c>
      <c r="H12" s="87">
        <v>10</v>
      </c>
      <c r="I12" s="87">
        <v>7</v>
      </c>
      <c r="J12" s="87">
        <v>82</v>
      </c>
      <c r="K12" s="68"/>
    </row>
    <row r="13" spans="1:11" ht="15.6" x14ac:dyDescent="0.3">
      <c r="A13" s="84">
        <v>6096</v>
      </c>
      <c r="B13" s="85" t="s">
        <v>2550</v>
      </c>
      <c r="C13" s="86">
        <v>1</v>
      </c>
      <c r="D13" s="87">
        <v>6</v>
      </c>
      <c r="E13" s="87">
        <v>14</v>
      </c>
      <c r="F13" s="87">
        <v>19</v>
      </c>
      <c r="G13" s="87">
        <v>15</v>
      </c>
      <c r="H13" s="87">
        <v>7</v>
      </c>
      <c r="I13" s="87">
        <v>6</v>
      </c>
      <c r="J13" s="87">
        <v>67</v>
      </c>
      <c r="K13" s="68"/>
    </row>
    <row r="14" spans="1:11" ht="15.6" x14ac:dyDescent="0.3">
      <c r="A14" s="84">
        <v>6141</v>
      </c>
      <c r="B14" s="85" t="s">
        <v>2554</v>
      </c>
      <c r="C14" s="86">
        <v>1</v>
      </c>
      <c r="D14" s="87">
        <v>8</v>
      </c>
      <c r="E14" s="87">
        <v>13</v>
      </c>
      <c r="F14" s="87">
        <v>18</v>
      </c>
      <c r="G14" s="87">
        <v>19</v>
      </c>
      <c r="H14" s="87">
        <v>6</v>
      </c>
      <c r="I14" s="87">
        <v>10</v>
      </c>
      <c r="J14" s="87">
        <v>74</v>
      </c>
      <c r="K14" s="68"/>
    </row>
    <row r="15" spans="1:11" ht="15.6" x14ac:dyDescent="0.3">
      <c r="A15" s="84">
        <v>6182</v>
      </c>
      <c r="B15" s="17" t="s">
        <v>2558</v>
      </c>
      <c r="C15" s="86">
        <v>1</v>
      </c>
      <c r="D15" s="87">
        <v>12</v>
      </c>
      <c r="E15" s="87">
        <v>7</v>
      </c>
      <c r="F15" s="87">
        <v>5</v>
      </c>
      <c r="G15" s="87">
        <v>19</v>
      </c>
      <c r="H15" s="87">
        <v>8</v>
      </c>
      <c r="I15" s="87">
        <v>5</v>
      </c>
      <c r="J15" s="87">
        <v>56</v>
      </c>
      <c r="K15" s="68"/>
    </row>
    <row r="16" spans="1:11" ht="15.6" x14ac:dyDescent="0.3">
      <c r="A16" s="84">
        <v>3999</v>
      </c>
      <c r="B16" s="17" t="s">
        <v>2564</v>
      </c>
      <c r="C16" s="86">
        <v>2</v>
      </c>
      <c r="D16" s="87">
        <v>14</v>
      </c>
      <c r="E16" s="87">
        <v>19</v>
      </c>
      <c r="F16" s="87">
        <v>20</v>
      </c>
      <c r="G16" s="87">
        <v>14</v>
      </c>
      <c r="H16" s="87">
        <v>8</v>
      </c>
      <c r="I16" s="87">
        <v>7</v>
      </c>
      <c r="J16" s="87">
        <v>82</v>
      </c>
      <c r="K16" s="68"/>
    </row>
    <row r="17" spans="1:11" ht="15.6" x14ac:dyDescent="0.3">
      <c r="A17" s="84">
        <v>3932</v>
      </c>
      <c r="B17" s="17" t="s">
        <v>2567</v>
      </c>
      <c r="C17" s="86">
        <v>2</v>
      </c>
      <c r="D17" s="87">
        <v>19</v>
      </c>
      <c r="E17" s="87">
        <v>11</v>
      </c>
      <c r="F17" s="87">
        <v>5</v>
      </c>
      <c r="G17" s="87">
        <v>18</v>
      </c>
      <c r="H17" s="87">
        <v>7</v>
      </c>
      <c r="I17" s="87">
        <v>10</v>
      </c>
      <c r="J17" s="87">
        <v>70</v>
      </c>
      <c r="K17" s="68"/>
    </row>
    <row r="18" spans="1:11" ht="15.6" x14ac:dyDescent="0.3">
      <c r="A18" s="84">
        <v>7548</v>
      </c>
      <c r="B18" s="17" t="s">
        <v>2566</v>
      </c>
      <c r="C18" s="86">
        <v>2</v>
      </c>
      <c r="D18" s="87">
        <v>11</v>
      </c>
      <c r="E18" s="87">
        <v>9</v>
      </c>
      <c r="F18" s="87">
        <v>17</v>
      </c>
      <c r="G18" s="87">
        <v>12</v>
      </c>
      <c r="H18" s="87">
        <v>5</v>
      </c>
      <c r="I18" s="87">
        <v>6</v>
      </c>
      <c r="J18" s="87">
        <v>60</v>
      </c>
      <c r="K18" s="68"/>
    </row>
    <row r="19" spans="1:11" ht="15.6" x14ac:dyDescent="0.3">
      <c r="A19" s="84">
        <v>7856</v>
      </c>
      <c r="B19" s="17" t="s">
        <v>2571</v>
      </c>
      <c r="C19" s="86">
        <v>2</v>
      </c>
      <c r="D19" s="87">
        <v>20</v>
      </c>
      <c r="E19" s="87">
        <v>10</v>
      </c>
      <c r="F19" s="87">
        <v>19</v>
      </c>
      <c r="G19" s="87">
        <v>17</v>
      </c>
      <c r="H19" s="87">
        <v>7</v>
      </c>
      <c r="I19" s="87">
        <v>5</v>
      </c>
      <c r="J19" s="87">
        <v>78</v>
      </c>
      <c r="K19" s="68"/>
    </row>
    <row r="20" spans="1:11" ht="15.6" x14ac:dyDescent="0.3">
      <c r="A20" s="84">
        <v>4543</v>
      </c>
      <c r="B20" s="17" t="s">
        <v>2573</v>
      </c>
      <c r="C20" s="86">
        <v>2</v>
      </c>
      <c r="D20" s="87">
        <v>15</v>
      </c>
      <c r="E20" s="87">
        <v>18</v>
      </c>
      <c r="F20" s="87">
        <v>12</v>
      </c>
      <c r="G20" s="87">
        <v>13</v>
      </c>
      <c r="H20" s="87">
        <v>9</v>
      </c>
      <c r="I20" s="87">
        <v>9</v>
      </c>
      <c r="J20" s="87">
        <v>76</v>
      </c>
      <c r="K20" s="68"/>
    </row>
    <row r="21" spans="1:11" ht="15.6" x14ac:dyDescent="0.3">
      <c r="A21" s="84">
        <v>6122</v>
      </c>
      <c r="B21" s="17" t="s">
        <v>2565</v>
      </c>
      <c r="C21" s="86">
        <v>2</v>
      </c>
      <c r="D21" s="87">
        <v>5</v>
      </c>
      <c r="E21" s="87">
        <v>12</v>
      </c>
      <c r="F21" s="87">
        <v>11</v>
      </c>
      <c r="G21" s="87">
        <v>14</v>
      </c>
      <c r="H21" s="87">
        <v>7</v>
      </c>
      <c r="I21" s="87">
        <v>9</v>
      </c>
      <c r="J21" s="87">
        <v>58</v>
      </c>
      <c r="K21" s="68"/>
    </row>
    <row r="22" spans="1:11" ht="15.6" x14ac:dyDescent="0.3">
      <c r="A22" s="84">
        <v>6338</v>
      </c>
      <c r="B22" s="17" t="s">
        <v>2575</v>
      </c>
      <c r="C22" s="86">
        <v>2</v>
      </c>
      <c r="D22" s="87">
        <v>20</v>
      </c>
      <c r="E22" s="87">
        <v>9</v>
      </c>
      <c r="F22" s="87">
        <v>9</v>
      </c>
      <c r="G22" s="87">
        <v>19</v>
      </c>
      <c r="H22" s="87">
        <v>7</v>
      </c>
      <c r="I22" s="87">
        <v>5</v>
      </c>
      <c r="J22" s="87">
        <v>69</v>
      </c>
      <c r="K22" s="68"/>
    </row>
    <row r="23" spans="1:11" ht="15.6" x14ac:dyDescent="0.3">
      <c r="A23" s="84">
        <v>7445</v>
      </c>
      <c r="B23" s="17" t="s">
        <v>2576</v>
      </c>
      <c r="C23" s="86">
        <v>2</v>
      </c>
      <c r="D23" s="87">
        <v>18</v>
      </c>
      <c r="E23" s="87">
        <v>17</v>
      </c>
      <c r="F23" s="87">
        <v>7</v>
      </c>
      <c r="G23" s="87">
        <v>13</v>
      </c>
      <c r="H23" s="87">
        <v>7</v>
      </c>
      <c r="I23" s="87">
        <v>6</v>
      </c>
      <c r="J23" s="87">
        <v>68</v>
      </c>
      <c r="K23" s="51"/>
    </row>
    <row r="24" spans="1:11" ht="15.6" x14ac:dyDescent="0.3">
      <c r="A24" s="84">
        <v>3964</v>
      </c>
      <c r="B24" s="17" t="s">
        <v>2570</v>
      </c>
      <c r="C24" s="86">
        <v>2</v>
      </c>
      <c r="D24" s="87">
        <v>13</v>
      </c>
      <c r="E24" s="87">
        <v>10</v>
      </c>
      <c r="F24" s="87">
        <v>14</v>
      </c>
      <c r="G24" s="87">
        <v>13</v>
      </c>
      <c r="H24" s="87">
        <v>9</v>
      </c>
      <c r="I24" s="87">
        <v>7</v>
      </c>
      <c r="J24" s="87">
        <v>66</v>
      </c>
      <c r="K24" s="68"/>
    </row>
    <row r="25" spans="1:11" ht="15.6" x14ac:dyDescent="0.3">
      <c r="A25" s="84">
        <v>5625</v>
      </c>
      <c r="B25" s="17" t="s">
        <v>2574</v>
      </c>
      <c r="C25" s="86">
        <v>2</v>
      </c>
      <c r="D25" s="87">
        <v>9</v>
      </c>
      <c r="E25" s="87">
        <v>12</v>
      </c>
      <c r="F25" s="87">
        <v>13</v>
      </c>
      <c r="G25" s="87">
        <v>9</v>
      </c>
      <c r="H25" s="87">
        <v>9</v>
      </c>
      <c r="I25" s="87">
        <v>8</v>
      </c>
      <c r="J25" s="87">
        <v>60</v>
      </c>
      <c r="K25" s="68"/>
    </row>
    <row r="26" spans="1:11" ht="15.6" x14ac:dyDescent="0.3">
      <c r="A26" s="84">
        <v>3393</v>
      </c>
      <c r="B26" s="17" t="s">
        <v>2577</v>
      </c>
      <c r="C26" s="86">
        <v>2</v>
      </c>
      <c r="D26" s="87">
        <v>7</v>
      </c>
      <c r="E26" s="87">
        <v>8</v>
      </c>
      <c r="F26" s="87">
        <v>17</v>
      </c>
      <c r="G26" s="87">
        <v>6</v>
      </c>
      <c r="H26" s="87">
        <v>8</v>
      </c>
      <c r="I26" s="87">
        <v>8</v>
      </c>
      <c r="J26" s="87">
        <v>54</v>
      </c>
      <c r="K26" s="68"/>
    </row>
    <row r="27" spans="1:11" ht="15.6" x14ac:dyDescent="0.3">
      <c r="A27" s="84">
        <v>3781</v>
      </c>
      <c r="B27" s="17" t="s">
        <v>2569</v>
      </c>
      <c r="C27" s="86">
        <v>2</v>
      </c>
      <c r="D27" s="87">
        <v>15</v>
      </c>
      <c r="E27" s="87">
        <v>9</v>
      </c>
      <c r="F27" s="87">
        <v>17</v>
      </c>
      <c r="G27" s="87">
        <v>14</v>
      </c>
      <c r="H27" s="87">
        <v>8</v>
      </c>
      <c r="I27" s="87">
        <v>8</v>
      </c>
      <c r="J27" s="87">
        <v>71</v>
      </c>
      <c r="K27" s="68"/>
    </row>
    <row r="28" spans="1:11" ht="15.6" x14ac:dyDescent="0.3">
      <c r="A28" s="84">
        <v>7513</v>
      </c>
      <c r="B28" s="17" t="s">
        <v>2568</v>
      </c>
      <c r="C28" s="86">
        <v>2</v>
      </c>
      <c r="D28" s="87">
        <v>13</v>
      </c>
      <c r="E28" s="87">
        <v>5</v>
      </c>
      <c r="F28" s="87">
        <v>6</v>
      </c>
      <c r="G28" s="87">
        <v>8</v>
      </c>
      <c r="H28" s="87">
        <v>7</v>
      </c>
      <c r="I28" s="87">
        <v>5</v>
      </c>
      <c r="J28" s="87">
        <v>44</v>
      </c>
      <c r="K28" s="68"/>
    </row>
    <row r="29" spans="1:11" ht="15.6" x14ac:dyDescent="0.3">
      <c r="A29" s="84">
        <v>5665</v>
      </c>
      <c r="B29" s="17" t="s">
        <v>2572</v>
      </c>
      <c r="C29" s="86">
        <v>2</v>
      </c>
      <c r="D29" s="87">
        <v>8</v>
      </c>
      <c r="E29" s="87">
        <v>7</v>
      </c>
      <c r="F29" s="87">
        <v>19</v>
      </c>
      <c r="G29" s="87">
        <v>15</v>
      </c>
      <c r="H29" s="87">
        <v>8</v>
      </c>
      <c r="I29" s="87">
        <v>10</v>
      </c>
      <c r="J29" s="87">
        <v>67</v>
      </c>
      <c r="K29" s="68"/>
    </row>
    <row r="30" spans="1:11" ht="15.6" x14ac:dyDescent="0.3">
      <c r="A30" s="84">
        <v>5648</v>
      </c>
      <c r="B30" s="17" t="s">
        <v>2579</v>
      </c>
      <c r="C30" s="86">
        <v>4</v>
      </c>
      <c r="D30" s="87">
        <v>6</v>
      </c>
      <c r="E30" s="87">
        <v>16</v>
      </c>
      <c r="F30" s="87">
        <v>18</v>
      </c>
      <c r="G30" s="87">
        <v>20</v>
      </c>
      <c r="H30" s="87">
        <v>5</v>
      </c>
      <c r="I30" s="87">
        <v>9</v>
      </c>
      <c r="J30" s="87">
        <v>74</v>
      </c>
      <c r="K30" s="68"/>
    </row>
    <row r="31" spans="1:11" s="17" customFormat="1" ht="15.6" x14ac:dyDescent="0.3">
      <c r="A31" s="84">
        <v>3179</v>
      </c>
      <c r="B31" s="17" t="s">
        <v>1242</v>
      </c>
      <c r="C31" s="86">
        <v>4</v>
      </c>
      <c r="D31" s="87">
        <v>8</v>
      </c>
      <c r="E31" s="87">
        <v>17</v>
      </c>
      <c r="F31" s="87">
        <v>6</v>
      </c>
      <c r="G31" s="87">
        <v>11</v>
      </c>
      <c r="H31" s="87">
        <v>8</v>
      </c>
      <c r="I31" s="87">
        <v>7</v>
      </c>
      <c r="J31" s="87">
        <v>57</v>
      </c>
      <c r="K31" s="51"/>
    </row>
    <row r="32" spans="1:11" s="17" customFormat="1" ht="15.6" x14ac:dyDescent="0.3">
      <c r="A32" s="84">
        <v>3347</v>
      </c>
      <c r="B32" s="17" t="s">
        <v>746</v>
      </c>
      <c r="C32" s="86">
        <v>4</v>
      </c>
      <c r="D32" s="87">
        <v>16</v>
      </c>
      <c r="E32" s="87">
        <v>13</v>
      </c>
      <c r="F32" s="87">
        <v>14</v>
      </c>
      <c r="G32" s="87">
        <v>10</v>
      </c>
      <c r="H32" s="87">
        <v>5</v>
      </c>
      <c r="I32" s="87">
        <v>6</v>
      </c>
      <c r="J32" s="87">
        <v>64</v>
      </c>
      <c r="K32" s="51"/>
    </row>
    <row r="33" spans="1:11" ht="15.6" x14ac:dyDescent="0.3">
      <c r="A33" s="84">
        <v>7795</v>
      </c>
      <c r="B33" s="17" t="s">
        <v>1246</v>
      </c>
      <c r="C33" s="86">
        <v>4</v>
      </c>
      <c r="D33" s="87">
        <v>13</v>
      </c>
      <c r="E33" s="87">
        <v>7</v>
      </c>
      <c r="F33" s="87">
        <v>8</v>
      </c>
      <c r="G33" s="87">
        <v>14</v>
      </c>
      <c r="H33" s="87">
        <v>6</v>
      </c>
      <c r="I33" s="87">
        <v>8</v>
      </c>
      <c r="J33" s="87">
        <v>56</v>
      </c>
      <c r="K33" s="51"/>
    </row>
    <row r="34" spans="1:11" ht="15.6" x14ac:dyDescent="0.3">
      <c r="A34" s="84">
        <v>8879</v>
      </c>
      <c r="B34" s="17" t="s">
        <v>1250</v>
      </c>
      <c r="C34" s="86">
        <v>4</v>
      </c>
      <c r="D34" s="87">
        <v>9</v>
      </c>
      <c r="E34" s="87">
        <v>9</v>
      </c>
      <c r="F34" s="87">
        <v>14</v>
      </c>
      <c r="G34" s="87">
        <v>7</v>
      </c>
      <c r="H34" s="87">
        <v>5</v>
      </c>
      <c r="I34" s="87">
        <v>7</v>
      </c>
      <c r="J34" s="87">
        <v>51</v>
      </c>
      <c r="K34" s="51"/>
    </row>
    <row r="35" spans="1:11" ht="15.6" x14ac:dyDescent="0.3">
      <c r="A35" s="84">
        <v>3418</v>
      </c>
      <c r="B35" s="17" t="s">
        <v>2584</v>
      </c>
      <c r="C35" s="86">
        <v>4</v>
      </c>
      <c r="D35" s="87">
        <v>13</v>
      </c>
      <c r="E35" s="87">
        <v>9</v>
      </c>
      <c r="F35" s="87">
        <v>9</v>
      </c>
      <c r="G35" s="87">
        <v>14</v>
      </c>
      <c r="H35" s="87">
        <v>8</v>
      </c>
      <c r="I35" s="87">
        <v>7</v>
      </c>
      <c r="J35" s="87">
        <v>60</v>
      </c>
      <c r="K35" s="68"/>
    </row>
    <row r="36" spans="1:11" ht="15.6" x14ac:dyDescent="0.3">
      <c r="A36" s="84">
        <v>6096</v>
      </c>
      <c r="B36" s="17" t="s">
        <v>2583</v>
      </c>
      <c r="C36" s="86">
        <v>4</v>
      </c>
      <c r="D36" s="87">
        <v>5</v>
      </c>
      <c r="E36" s="87">
        <v>19</v>
      </c>
      <c r="F36" s="87">
        <v>19</v>
      </c>
      <c r="G36" s="87">
        <v>18</v>
      </c>
      <c r="H36" s="87">
        <v>10</v>
      </c>
      <c r="I36" s="87">
        <v>6</v>
      </c>
      <c r="J36" s="87">
        <v>77</v>
      </c>
      <c r="K36" s="68"/>
    </row>
    <row r="37" spans="1:11" ht="15.6" x14ac:dyDescent="0.3">
      <c r="A37" s="84">
        <v>8360</v>
      </c>
      <c r="B37" s="88" t="s">
        <v>1244</v>
      </c>
      <c r="C37" s="86">
        <v>4</v>
      </c>
      <c r="D37" s="87">
        <v>13</v>
      </c>
      <c r="E37" s="87">
        <v>9</v>
      </c>
      <c r="F37" s="87">
        <v>15</v>
      </c>
      <c r="G37" s="87">
        <v>8</v>
      </c>
      <c r="H37" s="87">
        <v>8</v>
      </c>
      <c r="I37" s="87">
        <v>7</v>
      </c>
      <c r="J37" s="87">
        <v>60</v>
      </c>
      <c r="K37" s="51"/>
    </row>
    <row r="38" spans="1:11" ht="15.6" x14ac:dyDescent="0.3">
      <c r="A38" s="84">
        <v>3551</v>
      </c>
      <c r="B38" s="17" t="s">
        <v>2578</v>
      </c>
      <c r="C38" s="86">
        <v>4</v>
      </c>
      <c r="D38" s="87">
        <v>19</v>
      </c>
      <c r="E38" s="87">
        <v>9</v>
      </c>
      <c r="F38" s="87">
        <v>15</v>
      </c>
      <c r="G38" s="87">
        <v>16</v>
      </c>
      <c r="H38" s="87">
        <v>9</v>
      </c>
      <c r="I38" s="87">
        <v>5</v>
      </c>
      <c r="J38" s="87">
        <v>73</v>
      </c>
      <c r="K38" s="68"/>
    </row>
    <row r="39" spans="1:11" ht="15.6" x14ac:dyDescent="0.3">
      <c r="A39" s="84">
        <v>5789</v>
      </c>
      <c r="B39" s="17" t="s">
        <v>323</v>
      </c>
      <c r="C39" s="86">
        <v>4</v>
      </c>
      <c r="D39" s="87">
        <v>12</v>
      </c>
      <c r="E39" s="87">
        <v>5</v>
      </c>
      <c r="F39" s="87">
        <v>9</v>
      </c>
      <c r="G39" s="87">
        <v>19</v>
      </c>
      <c r="H39" s="87">
        <v>7</v>
      </c>
      <c r="I39" s="87">
        <v>9</v>
      </c>
      <c r="J39" s="87">
        <v>61</v>
      </c>
      <c r="K39" s="51"/>
    </row>
    <row r="40" spans="1:11" ht="15.6" x14ac:dyDescent="0.3">
      <c r="A40" s="84">
        <v>5012</v>
      </c>
      <c r="B40" s="17" t="s">
        <v>2581</v>
      </c>
      <c r="C40" s="86">
        <v>4</v>
      </c>
      <c r="D40" s="87">
        <v>15</v>
      </c>
      <c r="E40" s="87">
        <v>9</v>
      </c>
      <c r="F40" s="87">
        <v>17</v>
      </c>
      <c r="G40" s="87">
        <v>14</v>
      </c>
      <c r="H40" s="87">
        <v>8</v>
      </c>
      <c r="I40" s="87">
        <v>7</v>
      </c>
      <c r="J40" s="87">
        <v>70</v>
      </c>
      <c r="K40" s="68"/>
    </row>
    <row r="41" spans="1:11" ht="15.6" x14ac:dyDescent="0.3">
      <c r="A41" s="84">
        <v>6859</v>
      </c>
      <c r="B41" s="17" t="s">
        <v>2580</v>
      </c>
      <c r="C41" s="86">
        <v>4</v>
      </c>
      <c r="D41" s="87">
        <v>10</v>
      </c>
      <c r="E41" s="87">
        <v>17</v>
      </c>
      <c r="F41" s="87">
        <v>8</v>
      </c>
      <c r="G41" s="87">
        <v>7</v>
      </c>
      <c r="H41" s="87">
        <v>5</v>
      </c>
      <c r="I41" s="87">
        <v>7</v>
      </c>
      <c r="J41" s="87">
        <v>54</v>
      </c>
      <c r="K41" s="68"/>
    </row>
    <row r="42" spans="1:11" ht="15.6" x14ac:dyDescent="0.3">
      <c r="A42" s="84">
        <v>6179</v>
      </c>
      <c r="B42" s="88" t="s">
        <v>1258</v>
      </c>
      <c r="C42" s="86">
        <v>4</v>
      </c>
      <c r="D42" s="87">
        <v>16</v>
      </c>
      <c r="E42" s="87">
        <v>18</v>
      </c>
      <c r="F42" s="87">
        <v>20</v>
      </c>
      <c r="G42" s="87">
        <v>19</v>
      </c>
      <c r="H42" s="87">
        <v>5</v>
      </c>
      <c r="I42" s="87">
        <v>7</v>
      </c>
      <c r="J42" s="87">
        <v>85</v>
      </c>
      <c r="K42" s="51"/>
    </row>
    <row r="43" spans="1:11" ht="15.6" x14ac:dyDescent="0.3">
      <c r="A43" s="84">
        <v>6609</v>
      </c>
      <c r="B43" s="17" t="s">
        <v>1221</v>
      </c>
      <c r="C43" s="86">
        <v>4</v>
      </c>
      <c r="D43" s="87">
        <v>6</v>
      </c>
      <c r="E43" s="87">
        <v>7</v>
      </c>
      <c r="F43" s="87">
        <v>9</v>
      </c>
      <c r="G43" s="87">
        <v>18</v>
      </c>
      <c r="H43" s="87">
        <v>6</v>
      </c>
      <c r="I43" s="87">
        <v>7</v>
      </c>
      <c r="J43" s="87">
        <v>53</v>
      </c>
      <c r="K43" s="51"/>
    </row>
    <row r="44" spans="1:11" ht="15.6" x14ac:dyDescent="0.3">
      <c r="A44" s="84">
        <v>4790</v>
      </c>
      <c r="B44" s="17" t="s">
        <v>727</v>
      </c>
      <c r="C44" s="86">
        <v>4</v>
      </c>
      <c r="D44" s="87">
        <v>19</v>
      </c>
      <c r="E44" s="87">
        <v>6</v>
      </c>
      <c r="F44" s="87">
        <v>7</v>
      </c>
      <c r="G44" s="87">
        <v>10</v>
      </c>
      <c r="H44" s="87">
        <v>10</v>
      </c>
      <c r="I44" s="87">
        <v>5</v>
      </c>
      <c r="J44" s="87">
        <v>57</v>
      </c>
      <c r="K44" s="51"/>
    </row>
    <row r="45" spans="1:11" ht="15.6" x14ac:dyDescent="0.3">
      <c r="A45" s="84">
        <v>6992</v>
      </c>
      <c r="B45" s="88" t="s">
        <v>759</v>
      </c>
      <c r="C45" s="86">
        <v>4</v>
      </c>
      <c r="D45" s="87">
        <v>8</v>
      </c>
      <c r="E45" s="87">
        <v>9</v>
      </c>
      <c r="F45" s="87">
        <v>14</v>
      </c>
      <c r="G45" s="87">
        <v>11</v>
      </c>
      <c r="H45" s="87">
        <v>5</v>
      </c>
      <c r="I45" s="87">
        <v>10</v>
      </c>
      <c r="J45" s="87">
        <v>57</v>
      </c>
      <c r="K45" s="51"/>
    </row>
    <row r="46" spans="1:11" ht="15.6" x14ac:dyDescent="0.3">
      <c r="A46" s="84">
        <v>6214</v>
      </c>
      <c r="B46" s="88" t="s">
        <v>774</v>
      </c>
      <c r="C46" s="86">
        <v>4</v>
      </c>
      <c r="D46" s="87">
        <v>11</v>
      </c>
      <c r="E46" s="87">
        <v>11</v>
      </c>
      <c r="F46" s="87">
        <v>10</v>
      </c>
      <c r="G46" s="87">
        <v>17</v>
      </c>
      <c r="H46" s="87">
        <v>6</v>
      </c>
      <c r="I46" s="87">
        <v>10</v>
      </c>
      <c r="J46" s="87">
        <v>65</v>
      </c>
      <c r="K46" s="51"/>
    </row>
    <row r="47" spans="1:11" ht="15.6" x14ac:dyDescent="0.3">
      <c r="A47" s="84">
        <v>3951</v>
      </c>
      <c r="B47" s="17" t="s">
        <v>376</v>
      </c>
      <c r="C47" s="86">
        <v>4</v>
      </c>
      <c r="D47" s="87">
        <v>11</v>
      </c>
      <c r="E47" s="87">
        <v>5</v>
      </c>
      <c r="F47" s="87">
        <v>15</v>
      </c>
      <c r="G47" s="87">
        <v>17</v>
      </c>
      <c r="H47" s="87">
        <v>5</v>
      </c>
      <c r="I47" s="87">
        <v>10</v>
      </c>
      <c r="J47" s="87">
        <v>63</v>
      </c>
      <c r="K47" s="51"/>
    </row>
    <row r="48" spans="1:11" ht="15.6" x14ac:dyDescent="0.3">
      <c r="A48" s="84">
        <v>7561</v>
      </c>
      <c r="B48" s="17" t="s">
        <v>2582</v>
      </c>
      <c r="C48" s="86">
        <v>4</v>
      </c>
      <c r="D48" s="87">
        <v>10</v>
      </c>
      <c r="E48" s="87">
        <v>17</v>
      </c>
      <c r="F48" s="87">
        <v>18</v>
      </c>
      <c r="G48" s="87">
        <v>15</v>
      </c>
      <c r="H48" s="87">
        <v>5</v>
      </c>
      <c r="I48" s="87">
        <v>10</v>
      </c>
      <c r="J48" s="87">
        <v>75</v>
      </c>
      <c r="K48" s="68"/>
    </row>
    <row r="49" spans="1:11" ht="15.6" x14ac:dyDescent="0.3">
      <c r="A49" s="84">
        <v>7266</v>
      </c>
      <c r="B49" s="88" t="s">
        <v>757</v>
      </c>
      <c r="C49" s="86">
        <v>4</v>
      </c>
      <c r="D49" s="87">
        <v>14</v>
      </c>
      <c r="E49" s="87">
        <v>10</v>
      </c>
      <c r="F49" s="87">
        <v>9</v>
      </c>
      <c r="G49" s="87">
        <v>8</v>
      </c>
      <c r="H49" s="87">
        <v>8</v>
      </c>
      <c r="I49" s="87">
        <v>7</v>
      </c>
      <c r="J49" s="87">
        <v>56</v>
      </c>
      <c r="K49" s="51"/>
    </row>
    <row r="50" spans="1:11" ht="15.6" x14ac:dyDescent="0.3">
      <c r="A50" s="84">
        <v>4129</v>
      </c>
      <c r="B50" s="88" t="s">
        <v>1208</v>
      </c>
      <c r="C50" s="86" t="s">
        <v>2587</v>
      </c>
      <c r="D50" s="87">
        <v>7</v>
      </c>
      <c r="E50" s="87">
        <v>17</v>
      </c>
      <c r="F50" s="87">
        <v>9</v>
      </c>
      <c r="G50" s="87">
        <v>10</v>
      </c>
      <c r="H50" s="87">
        <v>7</v>
      </c>
      <c r="I50" s="87">
        <v>9</v>
      </c>
      <c r="J50" s="87">
        <v>59</v>
      </c>
      <c r="K50" s="51"/>
    </row>
    <row r="51" spans="1:11" ht="15.6" x14ac:dyDescent="0.3">
      <c r="A51" s="84">
        <v>8060</v>
      </c>
      <c r="B51" s="17" t="s">
        <v>2586</v>
      </c>
      <c r="C51" s="86" t="s">
        <v>2587</v>
      </c>
      <c r="D51" s="87">
        <v>17</v>
      </c>
      <c r="E51" s="87">
        <v>13</v>
      </c>
      <c r="F51" s="87">
        <v>7</v>
      </c>
      <c r="G51" s="87">
        <v>18</v>
      </c>
      <c r="H51" s="87">
        <v>9</v>
      </c>
      <c r="I51" s="87">
        <v>9</v>
      </c>
      <c r="J51" s="87">
        <v>73</v>
      </c>
      <c r="K51" s="68"/>
    </row>
    <row r="52" spans="1:11" ht="15.6" x14ac:dyDescent="0.3">
      <c r="A52" s="84">
        <v>5581</v>
      </c>
      <c r="B52" s="88" t="s">
        <v>782</v>
      </c>
      <c r="C52" s="86" t="s">
        <v>2587</v>
      </c>
      <c r="D52" s="87">
        <v>11</v>
      </c>
      <c r="E52" s="87">
        <v>18</v>
      </c>
      <c r="F52" s="87">
        <v>13</v>
      </c>
      <c r="G52" s="87">
        <v>9</v>
      </c>
      <c r="H52" s="87">
        <v>10</v>
      </c>
      <c r="I52" s="87">
        <v>8</v>
      </c>
      <c r="J52" s="87">
        <v>69</v>
      </c>
      <c r="K52" s="51"/>
    </row>
    <row r="53" spans="1:11" ht="15.6" x14ac:dyDescent="0.3">
      <c r="A53" s="84">
        <v>8070</v>
      </c>
      <c r="B53" s="17" t="s">
        <v>1289</v>
      </c>
      <c r="C53" s="86" t="s">
        <v>2587</v>
      </c>
      <c r="D53" s="87">
        <v>11</v>
      </c>
      <c r="E53" s="87">
        <v>18</v>
      </c>
      <c r="F53" s="87">
        <v>16</v>
      </c>
      <c r="G53" s="87">
        <v>16</v>
      </c>
      <c r="H53" s="87">
        <v>6</v>
      </c>
      <c r="I53" s="87">
        <v>10</v>
      </c>
      <c r="J53" s="87">
        <v>77</v>
      </c>
      <c r="K53" s="51"/>
    </row>
    <row r="54" spans="1:11" ht="15.6" x14ac:dyDescent="0.3">
      <c r="A54" s="84">
        <v>8076</v>
      </c>
      <c r="B54" s="17" t="s">
        <v>781</v>
      </c>
      <c r="C54" s="86" t="s">
        <v>2587</v>
      </c>
      <c r="D54" s="87">
        <v>13</v>
      </c>
      <c r="E54" s="87">
        <v>12</v>
      </c>
      <c r="F54" s="87">
        <v>10</v>
      </c>
      <c r="G54" s="87">
        <v>15</v>
      </c>
      <c r="H54" s="87">
        <v>9</v>
      </c>
      <c r="I54" s="87">
        <v>9</v>
      </c>
      <c r="J54" s="87">
        <v>68</v>
      </c>
      <c r="K54" s="51"/>
    </row>
    <row r="55" spans="1:11" ht="15.6" x14ac:dyDescent="0.3">
      <c r="A55" s="84">
        <v>3192</v>
      </c>
      <c r="B55" s="17" t="s">
        <v>1458</v>
      </c>
      <c r="C55" s="86" t="s">
        <v>2587</v>
      </c>
      <c r="D55" s="87">
        <v>19</v>
      </c>
      <c r="E55" s="87">
        <v>5</v>
      </c>
      <c r="F55" s="87">
        <v>10</v>
      </c>
      <c r="G55" s="87">
        <v>18</v>
      </c>
      <c r="H55" s="87">
        <v>5</v>
      </c>
      <c r="I55" s="87">
        <v>9</v>
      </c>
      <c r="J55" s="87">
        <v>66</v>
      </c>
      <c r="K55" s="51"/>
    </row>
    <row r="56" spans="1:11" ht="15.6" x14ac:dyDescent="0.3">
      <c r="A56" s="84">
        <v>4958</v>
      </c>
      <c r="B56" s="17" t="s">
        <v>1260</v>
      </c>
      <c r="C56" s="86" t="s">
        <v>2587</v>
      </c>
      <c r="D56" s="87">
        <v>19</v>
      </c>
      <c r="E56" s="87">
        <v>11</v>
      </c>
      <c r="F56" s="87">
        <v>19</v>
      </c>
      <c r="G56" s="87">
        <v>11</v>
      </c>
      <c r="H56" s="87">
        <v>5</v>
      </c>
      <c r="I56" s="87">
        <v>8</v>
      </c>
      <c r="J56" s="87">
        <v>73</v>
      </c>
      <c r="K56" s="51"/>
    </row>
    <row r="57" spans="1:11" ht="15.6" x14ac:dyDescent="0.3">
      <c r="A57" s="84">
        <v>5153</v>
      </c>
      <c r="B57" s="88" t="s">
        <v>1265</v>
      </c>
      <c r="C57" s="86" t="s">
        <v>2587</v>
      </c>
      <c r="D57" s="87">
        <v>13</v>
      </c>
      <c r="E57" s="87">
        <v>12</v>
      </c>
      <c r="F57" s="87">
        <v>15</v>
      </c>
      <c r="G57" s="87">
        <v>6</v>
      </c>
      <c r="H57" s="87">
        <v>7</v>
      </c>
      <c r="I57" s="87">
        <v>6</v>
      </c>
      <c r="J57" s="87">
        <v>59</v>
      </c>
      <c r="K57" s="51"/>
    </row>
    <row r="58" spans="1:11" ht="15.6" x14ac:dyDescent="0.3">
      <c r="A58" s="84">
        <v>5732</v>
      </c>
      <c r="B58" s="17" t="s">
        <v>1531</v>
      </c>
      <c r="C58" s="86" t="s">
        <v>2587</v>
      </c>
      <c r="D58" s="87">
        <v>11</v>
      </c>
      <c r="E58" s="87">
        <v>17</v>
      </c>
      <c r="F58" s="87">
        <v>20</v>
      </c>
      <c r="G58" s="87">
        <v>14</v>
      </c>
      <c r="H58" s="87">
        <v>7</v>
      </c>
      <c r="I58" s="87">
        <v>5</v>
      </c>
      <c r="J58" s="87">
        <v>74</v>
      </c>
      <c r="K58" s="51"/>
    </row>
    <row r="59" spans="1:11" ht="15.6" x14ac:dyDescent="0.3">
      <c r="A59" s="84">
        <v>7743</v>
      </c>
      <c r="B59" s="17" t="s">
        <v>1202</v>
      </c>
      <c r="C59" s="86" t="s">
        <v>2587</v>
      </c>
      <c r="D59" s="87">
        <v>8</v>
      </c>
      <c r="E59" s="87">
        <v>7</v>
      </c>
      <c r="F59" s="87">
        <v>11</v>
      </c>
      <c r="G59" s="87">
        <v>8</v>
      </c>
      <c r="H59" s="87">
        <v>9</v>
      </c>
      <c r="I59" s="87">
        <v>6</v>
      </c>
      <c r="J59" s="87">
        <v>49</v>
      </c>
      <c r="K59" s="51"/>
    </row>
    <row r="60" spans="1:11" ht="15.6" x14ac:dyDescent="0.3">
      <c r="A60" s="84">
        <v>5071</v>
      </c>
      <c r="B60" s="17" t="s">
        <v>1204</v>
      </c>
      <c r="C60" s="86" t="s">
        <v>2587</v>
      </c>
      <c r="D60" s="87">
        <v>15</v>
      </c>
      <c r="E60" s="87">
        <v>18</v>
      </c>
      <c r="F60" s="87">
        <v>10</v>
      </c>
      <c r="G60" s="87">
        <v>16</v>
      </c>
      <c r="H60" s="87">
        <v>7</v>
      </c>
      <c r="I60" s="87">
        <v>7</v>
      </c>
      <c r="J60" s="87">
        <v>73</v>
      </c>
      <c r="K60" s="51"/>
    </row>
    <row r="61" spans="1:11" ht="15.6" x14ac:dyDescent="0.3">
      <c r="A61" s="84">
        <v>5890</v>
      </c>
      <c r="B61" s="88" t="s">
        <v>1206</v>
      </c>
      <c r="C61" s="86" t="s">
        <v>2587</v>
      </c>
      <c r="D61" s="87">
        <v>10</v>
      </c>
      <c r="E61" s="87">
        <v>8</v>
      </c>
      <c r="F61" s="87">
        <v>6</v>
      </c>
      <c r="G61" s="87">
        <v>19</v>
      </c>
      <c r="H61" s="87">
        <v>5</v>
      </c>
      <c r="I61" s="87">
        <v>6</v>
      </c>
      <c r="J61" s="87">
        <v>54</v>
      </c>
      <c r="K61" s="51"/>
    </row>
    <row r="62" spans="1:11" ht="15.6" x14ac:dyDescent="0.3">
      <c r="A62" s="84">
        <v>7425</v>
      </c>
      <c r="B62" s="17" t="s">
        <v>1196</v>
      </c>
      <c r="C62" s="86" t="s">
        <v>2587</v>
      </c>
      <c r="D62" s="87">
        <v>13</v>
      </c>
      <c r="E62" s="87">
        <v>14</v>
      </c>
      <c r="F62" s="87">
        <v>9</v>
      </c>
      <c r="G62" s="87">
        <v>10</v>
      </c>
      <c r="H62" s="87">
        <v>7</v>
      </c>
      <c r="I62" s="87">
        <v>8</v>
      </c>
      <c r="J62" s="87">
        <v>61</v>
      </c>
      <c r="K62" s="51"/>
    </row>
    <row r="63" spans="1:11" ht="15.6" x14ac:dyDescent="0.3">
      <c r="A63" s="84">
        <v>3612</v>
      </c>
      <c r="B63" s="17" t="s">
        <v>1230</v>
      </c>
      <c r="C63" s="86" t="s">
        <v>2587</v>
      </c>
      <c r="D63" s="87">
        <v>19</v>
      </c>
      <c r="E63" s="87">
        <v>14</v>
      </c>
      <c r="F63" s="87">
        <v>8</v>
      </c>
      <c r="G63" s="87">
        <v>7</v>
      </c>
      <c r="H63" s="87">
        <v>9</v>
      </c>
      <c r="I63" s="87">
        <v>9</v>
      </c>
      <c r="J63" s="87">
        <v>66</v>
      </c>
      <c r="K63" s="51"/>
    </row>
    <row r="64" spans="1:11" ht="15.6" x14ac:dyDescent="0.3">
      <c r="A64" s="84">
        <v>4256</v>
      </c>
      <c r="B64" s="17" t="s">
        <v>1210</v>
      </c>
      <c r="C64" s="86" t="s">
        <v>2587</v>
      </c>
      <c r="D64" s="87">
        <v>15</v>
      </c>
      <c r="E64" s="87">
        <v>8</v>
      </c>
      <c r="F64" s="87">
        <v>11</v>
      </c>
      <c r="G64" s="87">
        <v>18</v>
      </c>
      <c r="H64" s="87">
        <v>6</v>
      </c>
      <c r="I64" s="87">
        <v>8</v>
      </c>
      <c r="J64" s="87">
        <v>66</v>
      </c>
      <c r="K64" s="51"/>
    </row>
    <row r="65" spans="1:11" ht="15.6" x14ac:dyDescent="0.3">
      <c r="A65" s="84">
        <v>5273</v>
      </c>
      <c r="B65" s="17" t="s">
        <v>1271</v>
      </c>
      <c r="C65" s="86" t="s">
        <v>2587</v>
      </c>
      <c r="D65" s="87">
        <v>10</v>
      </c>
      <c r="E65" s="87">
        <v>5</v>
      </c>
      <c r="F65" s="87">
        <v>19</v>
      </c>
      <c r="G65" s="87">
        <v>5</v>
      </c>
      <c r="H65" s="87">
        <v>9</v>
      </c>
      <c r="I65" s="87">
        <v>9</v>
      </c>
      <c r="J65" s="87">
        <v>57</v>
      </c>
      <c r="K65" s="51"/>
    </row>
    <row r="66" spans="1:11" ht="15.6" x14ac:dyDescent="0.3">
      <c r="A66" s="84">
        <v>7578</v>
      </c>
      <c r="B66" s="17" t="s">
        <v>2585</v>
      </c>
      <c r="C66" s="86" t="s">
        <v>2587</v>
      </c>
      <c r="D66" s="87">
        <v>15</v>
      </c>
      <c r="E66" s="87">
        <v>6</v>
      </c>
      <c r="F66" s="87">
        <v>7</v>
      </c>
      <c r="G66" s="87">
        <v>17</v>
      </c>
      <c r="H66" s="87">
        <v>5</v>
      </c>
      <c r="I66" s="87">
        <v>9</v>
      </c>
      <c r="J66" s="87">
        <v>59</v>
      </c>
      <c r="K66" s="51"/>
    </row>
    <row r="67" spans="1:11" ht="15.6" x14ac:dyDescent="0.3">
      <c r="A67" s="84">
        <v>4359</v>
      </c>
      <c r="B67" s="17" t="s">
        <v>1200</v>
      </c>
      <c r="C67" s="86" t="s">
        <v>2587</v>
      </c>
      <c r="D67" s="87">
        <v>11</v>
      </c>
      <c r="E67" s="87">
        <v>10</v>
      </c>
      <c r="F67" s="87">
        <v>8</v>
      </c>
      <c r="G67" s="87">
        <v>6</v>
      </c>
      <c r="H67" s="87">
        <v>9</v>
      </c>
      <c r="I67" s="87">
        <v>8</v>
      </c>
      <c r="J67" s="87">
        <v>52</v>
      </c>
      <c r="K67" s="51"/>
    </row>
    <row r="68" spans="1:11" ht="15.6" x14ac:dyDescent="0.3">
      <c r="A68" s="84">
        <v>3121</v>
      </c>
      <c r="B68" s="17" t="s">
        <v>1256</v>
      </c>
      <c r="C68" s="86" t="s">
        <v>2587</v>
      </c>
      <c r="D68" s="87">
        <v>12</v>
      </c>
      <c r="E68" s="87">
        <v>11</v>
      </c>
      <c r="F68" s="87">
        <v>18</v>
      </c>
      <c r="G68" s="87">
        <v>7</v>
      </c>
      <c r="H68" s="87">
        <v>6</v>
      </c>
      <c r="I68" s="87">
        <v>6</v>
      </c>
      <c r="J68" s="87">
        <v>60</v>
      </c>
      <c r="K68" s="51"/>
    </row>
    <row r="69" spans="1:11" ht="15.6" x14ac:dyDescent="0.3">
      <c r="A69" s="84">
        <v>6448</v>
      </c>
      <c r="B69" s="17" t="s">
        <v>2589</v>
      </c>
      <c r="C69" s="17" t="s">
        <v>2592</v>
      </c>
      <c r="D69" s="87">
        <v>20</v>
      </c>
      <c r="E69" s="87">
        <v>16</v>
      </c>
      <c r="F69" s="87">
        <v>19</v>
      </c>
      <c r="G69" s="87">
        <v>19</v>
      </c>
      <c r="H69" s="87">
        <v>6</v>
      </c>
      <c r="I69" s="87">
        <v>6</v>
      </c>
      <c r="J69" s="87">
        <v>86</v>
      </c>
      <c r="K69" s="68"/>
    </row>
    <row r="70" spans="1:11" ht="15.6" x14ac:dyDescent="0.3">
      <c r="A70" s="84">
        <v>4721</v>
      </c>
      <c r="B70" s="17" t="s">
        <v>2588</v>
      </c>
      <c r="C70" s="17" t="s">
        <v>2592</v>
      </c>
      <c r="D70" s="87">
        <v>16</v>
      </c>
      <c r="E70" s="87">
        <v>5</v>
      </c>
      <c r="F70" s="87">
        <v>16</v>
      </c>
      <c r="G70" s="87">
        <v>20</v>
      </c>
      <c r="H70" s="87">
        <v>9</v>
      </c>
      <c r="I70" s="87">
        <v>10</v>
      </c>
      <c r="J70" s="87">
        <v>76</v>
      </c>
      <c r="K70" s="68"/>
    </row>
    <row r="71" spans="1:11" ht="15.6" x14ac:dyDescent="0.3">
      <c r="A71" s="84">
        <v>5451</v>
      </c>
      <c r="B71" s="17" t="s">
        <v>191</v>
      </c>
      <c r="C71" s="17" t="s">
        <v>2592</v>
      </c>
      <c r="D71" s="87">
        <v>10</v>
      </c>
      <c r="E71" s="87">
        <v>11</v>
      </c>
      <c r="F71" s="87">
        <v>16</v>
      </c>
      <c r="G71" s="87">
        <v>5</v>
      </c>
      <c r="H71" s="87">
        <v>9</v>
      </c>
      <c r="I71" s="87">
        <v>9</v>
      </c>
      <c r="J71" s="87">
        <v>60</v>
      </c>
      <c r="K71" s="68"/>
    </row>
    <row r="72" spans="1:11" ht="15.6" x14ac:dyDescent="0.3">
      <c r="A72" s="84">
        <v>3531</v>
      </c>
      <c r="B72" s="17" t="s">
        <v>292</v>
      </c>
      <c r="C72" s="17" t="s">
        <v>2592</v>
      </c>
      <c r="D72" s="87">
        <v>10</v>
      </c>
      <c r="E72" s="87">
        <v>13</v>
      </c>
      <c r="F72" s="87">
        <v>8</v>
      </c>
      <c r="G72" s="87">
        <v>14</v>
      </c>
      <c r="H72" s="87">
        <v>5</v>
      </c>
      <c r="I72" s="87">
        <v>9</v>
      </c>
      <c r="J72" s="87">
        <v>59</v>
      </c>
      <c r="K72" s="51"/>
    </row>
    <row r="73" spans="1:11" ht="15.6" x14ac:dyDescent="0.3">
      <c r="A73" s="84">
        <v>7485</v>
      </c>
      <c r="B73" s="17" t="s">
        <v>1335</v>
      </c>
      <c r="C73" s="17" t="s">
        <v>2592</v>
      </c>
      <c r="D73" s="87">
        <v>7</v>
      </c>
      <c r="E73" s="87">
        <v>20</v>
      </c>
      <c r="F73" s="87">
        <v>17</v>
      </c>
      <c r="G73" s="87">
        <v>11</v>
      </c>
      <c r="H73" s="87">
        <v>10</v>
      </c>
      <c r="I73" s="87">
        <v>5</v>
      </c>
      <c r="J73" s="87">
        <v>70</v>
      </c>
      <c r="K73" s="51"/>
    </row>
    <row r="74" spans="1:11" ht="15.6" x14ac:dyDescent="0.3">
      <c r="A74" s="84">
        <v>3502</v>
      </c>
      <c r="B74" s="17" t="s">
        <v>1535</v>
      </c>
      <c r="C74" s="17" t="s">
        <v>2592</v>
      </c>
      <c r="D74" s="87">
        <v>17</v>
      </c>
      <c r="E74" s="87">
        <v>5</v>
      </c>
      <c r="F74" s="87">
        <v>7</v>
      </c>
      <c r="G74" s="87">
        <v>8</v>
      </c>
      <c r="H74" s="87">
        <v>7</v>
      </c>
      <c r="I74" s="87">
        <v>7</v>
      </c>
      <c r="J74" s="87">
        <v>51</v>
      </c>
      <c r="K74" s="51"/>
    </row>
    <row r="75" spans="1:11" ht="15.6" x14ac:dyDescent="0.3">
      <c r="A75" s="84">
        <v>6698</v>
      </c>
      <c r="B75" s="17" t="s">
        <v>1238</v>
      </c>
      <c r="C75" s="17" t="s">
        <v>2592</v>
      </c>
      <c r="D75" s="87">
        <v>19</v>
      </c>
      <c r="E75" s="87">
        <v>12</v>
      </c>
      <c r="F75" s="87">
        <v>18</v>
      </c>
      <c r="G75" s="87">
        <v>15</v>
      </c>
      <c r="H75" s="87">
        <v>7</v>
      </c>
      <c r="I75" s="87">
        <v>6</v>
      </c>
      <c r="J75" s="87">
        <v>77</v>
      </c>
      <c r="K75" s="51"/>
    </row>
    <row r="76" spans="1:11" ht="15.6" x14ac:dyDescent="0.3">
      <c r="A76" s="84">
        <v>5175</v>
      </c>
      <c r="B76" s="17" t="s">
        <v>1252</v>
      </c>
      <c r="C76" s="17" t="s">
        <v>2592</v>
      </c>
      <c r="D76" s="87">
        <v>13</v>
      </c>
      <c r="E76" s="87">
        <v>20</v>
      </c>
      <c r="F76" s="87">
        <v>10</v>
      </c>
      <c r="G76" s="87">
        <v>19</v>
      </c>
      <c r="H76" s="87">
        <v>5</v>
      </c>
      <c r="I76" s="87">
        <v>7</v>
      </c>
      <c r="J76" s="87">
        <v>74</v>
      </c>
      <c r="K76" s="51"/>
    </row>
    <row r="77" spans="1:11" ht="15.6" x14ac:dyDescent="0.3">
      <c r="A77" s="84">
        <v>6500</v>
      </c>
      <c r="B77" s="17" t="s">
        <v>277</v>
      </c>
      <c r="C77" s="17" t="s">
        <v>2592</v>
      </c>
      <c r="D77" s="87">
        <v>15</v>
      </c>
      <c r="E77" s="87">
        <v>20</v>
      </c>
      <c r="F77" s="87">
        <v>6</v>
      </c>
      <c r="G77" s="87">
        <v>11</v>
      </c>
      <c r="H77" s="87">
        <v>5</v>
      </c>
      <c r="I77" s="87">
        <v>8</v>
      </c>
      <c r="J77" s="87">
        <v>65</v>
      </c>
      <c r="K77" s="51"/>
    </row>
    <row r="78" spans="1:11" ht="15.6" x14ac:dyDescent="0.3">
      <c r="A78" s="84">
        <v>7002</v>
      </c>
      <c r="B78" s="17" t="s">
        <v>269</v>
      </c>
      <c r="C78" s="17" t="s">
        <v>2592</v>
      </c>
      <c r="D78" s="87">
        <v>8</v>
      </c>
      <c r="E78" s="87">
        <v>11</v>
      </c>
      <c r="F78" s="87">
        <v>19</v>
      </c>
      <c r="G78" s="87">
        <v>6</v>
      </c>
      <c r="H78" s="87">
        <v>10</v>
      </c>
      <c r="I78" s="87">
        <v>7</v>
      </c>
      <c r="J78" s="87">
        <v>61</v>
      </c>
      <c r="K78" s="51"/>
    </row>
    <row r="79" spans="1:11" ht="15.6" x14ac:dyDescent="0.3">
      <c r="A79" s="84">
        <v>5674</v>
      </c>
      <c r="B79" s="17" t="s">
        <v>789</v>
      </c>
      <c r="C79" s="17" t="s">
        <v>2592</v>
      </c>
      <c r="D79" s="87">
        <v>12</v>
      </c>
      <c r="E79" s="87">
        <v>6</v>
      </c>
      <c r="F79" s="87">
        <v>7</v>
      </c>
      <c r="G79" s="87">
        <v>10</v>
      </c>
      <c r="H79" s="87">
        <v>8</v>
      </c>
      <c r="I79" s="87">
        <v>5</v>
      </c>
      <c r="J79" s="87">
        <v>48</v>
      </c>
      <c r="K79" s="51"/>
    </row>
    <row r="80" spans="1:11" ht="15.6" x14ac:dyDescent="0.3">
      <c r="A80" s="84">
        <v>4975</v>
      </c>
      <c r="B80" s="17" t="s">
        <v>2591</v>
      </c>
      <c r="C80" s="17" t="s">
        <v>2592</v>
      </c>
      <c r="D80" s="87">
        <v>19</v>
      </c>
      <c r="E80" s="87">
        <v>5</v>
      </c>
      <c r="F80" s="87">
        <v>20</v>
      </c>
      <c r="G80" s="87">
        <v>9</v>
      </c>
      <c r="H80" s="87">
        <v>7</v>
      </c>
      <c r="I80" s="87">
        <v>6</v>
      </c>
      <c r="J80" s="87">
        <v>66</v>
      </c>
      <c r="K80" s="51"/>
    </row>
    <row r="81" spans="1:11" ht="15.6" x14ac:dyDescent="0.3">
      <c r="A81" s="84">
        <v>3042</v>
      </c>
      <c r="B81" s="17" t="s">
        <v>17</v>
      </c>
      <c r="C81" s="17" t="s">
        <v>2592</v>
      </c>
      <c r="D81" s="87">
        <v>9</v>
      </c>
      <c r="E81" s="87">
        <v>11</v>
      </c>
      <c r="F81" s="87">
        <v>10</v>
      </c>
      <c r="G81" s="87">
        <v>14</v>
      </c>
      <c r="H81" s="87">
        <v>7</v>
      </c>
      <c r="I81" s="87">
        <v>9</v>
      </c>
      <c r="J81" s="87">
        <v>60</v>
      </c>
      <c r="K81" s="51"/>
    </row>
    <row r="82" spans="1:11" ht="15.6" x14ac:dyDescent="0.3">
      <c r="A82" s="84">
        <v>8659</v>
      </c>
      <c r="B82" s="17" t="s">
        <v>365</v>
      </c>
      <c r="C82" s="17" t="s">
        <v>2592</v>
      </c>
      <c r="D82" s="87">
        <v>12</v>
      </c>
      <c r="E82" s="87">
        <v>18</v>
      </c>
      <c r="F82" s="87">
        <v>16</v>
      </c>
      <c r="G82" s="87">
        <v>8</v>
      </c>
      <c r="H82" s="87">
        <v>5</v>
      </c>
      <c r="I82" s="87">
        <v>7</v>
      </c>
      <c r="J82" s="87">
        <v>66</v>
      </c>
      <c r="K82" s="51"/>
    </row>
    <row r="83" spans="1:11" ht="15.6" x14ac:dyDescent="0.3">
      <c r="A83" s="84">
        <v>7879</v>
      </c>
      <c r="B83" s="17" t="s">
        <v>1198</v>
      </c>
      <c r="C83" s="17" t="s">
        <v>2592</v>
      </c>
      <c r="D83" s="87">
        <v>19</v>
      </c>
      <c r="E83" s="87">
        <v>11</v>
      </c>
      <c r="F83" s="87">
        <v>8</v>
      </c>
      <c r="G83" s="87">
        <v>5</v>
      </c>
      <c r="H83" s="87">
        <v>5</v>
      </c>
      <c r="I83" s="87">
        <v>5</v>
      </c>
      <c r="J83" s="87">
        <v>53</v>
      </c>
      <c r="K83" s="51"/>
    </row>
    <row r="84" spans="1:11" ht="15.6" x14ac:dyDescent="0.3">
      <c r="A84" s="84">
        <v>5214</v>
      </c>
      <c r="B84" s="17" t="s">
        <v>2590</v>
      </c>
      <c r="C84" s="17" t="s">
        <v>2592</v>
      </c>
      <c r="D84" s="87">
        <v>5</v>
      </c>
      <c r="E84" s="87">
        <v>12</v>
      </c>
      <c r="F84" s="87">
        <v>19</v>
      </c>
      <c r="G84" s="87">
        <v>18</v>
      </c>
      <c r="H84" s="87">
        <v>8</v>
      </c>
      <c r="I84" s="87">
        <v>9</v>
      </c>
      <c r="J84" s="87">
        <v>71</v>
      </c>
      <c r="K84" s="68"/>
    </row>
    <row r="85" spans="1:11" ht="15.6" x14ac:dyDescent="0.3">
      <c r="A85" s="84">
        <v>6950</v>
      </c>
      <c r="B85" s="17" t="s">
        <v>1537</v>
      </c>
      <c r="C85" s="17" t="s">
        <v>2592</v>
      </c>
      <c r="D85" s="87">
        <v>11</v>
      </c>
      <c r="E85" s="87">
        <v>19</v>
      </c>
      <c r="F85" s="87">
        <v>9</v>
      </c>
      <c r="G85" s="87">
        <v>10</v>
      </c>
      <c r="H85" s="87">
        <v>8</v>
      </c>
      <c r="I85" s="87">
        <v>7</v>
      </c>
      <c r="J85" s="87">
        <v>64</v>
      </c>
      <c r="K85" s="68"/>
    </row>
    <row r="86" spans="1:11" ht="15.6" x14ac:dyDescent="0.3">
      <c r="A86" s="84">
        <v>6473</v>
      </c>
      <c r="B86" s="17" t="s">
        <v>1218</v>
      </c>
      <c r="C86" s="17" t="s">
        <v>2594</v>
      </c>
      <c r="D86" s="87">
        <v>13</v>
      </c>
      <c r="E86" s="87">
        <v>18</v>
      </c>
      <c r="F86" s="87">
        <v>9</v>
      </c>
      <c r="G86" s="87">
        <v>15</v>
      </c>
      <c r="H86" s="87">
        <v>5</v>
      </c>
      <c r="I86" s="87">
        <v>8</v>
      </c>
      <c r="J86" s="87">
        <v>68</v>
      </c>
      <c r="K86" s="51"/>
    </row>
    <row r="87" spans="1:11" ht="15.6" x14ac:dyDescent="0.3">
      <c r="A87" s="84">
        <v>3505</v>
      </c>
      <c r="B87" s="17" t="s">
        <v>1264</v>
      </c>
      <c r="C87" s="17" t="s">
        <v>2594</v>
      </c>
      <c r="D87" s="87">
        <v>17</v>
      </c>
      <c r="E87" s="87">
        <v>5</v>
      </c>
      <c r="F87" s="87">
        <v>20</v>
      </c>
      <c r="G87" s="87">
        <v>11</v>
      </c>
      <c r="H87" s="87">
        <v>8</v>
      </c>
      <c r="I87" s="87">
        <v>8</v>
      </c>
      <c r="J87" s="87">
        <v>69</v>
      </c>
      <c r="K87" s="51"/>
    </row>
    <row r="88" spans="1:11" ht="15.6" x14ac:dyDescent="0.3">
      <c r="A88" s="84">
        <v>8709</v>
      </c>
      <c r="B88" s="17" t="s">
        <v>1536</v>
      </c>
      <c r="C88" s="17" t="s">
        <v>2594</v>
      </c>
      <c r="D88" s="87">
        <v>16</v>
      </c>
      <c r="E88" s="87">
        <v>12</v>
      </c>
      <c r="F88" s="87">
        <v>10</v>
      </c>
      <c r="G88" s="87">
        <v>19</v>
      </c>
      <c r="H88" s="87">
        <v>8</v>
      </c>
      <c r="I88" s="87">
        <v>5</v>
      </c>
      <c r="J88" s="87">
        <v>70</v>
      </c>
      <c r="K88" s="51"/>
    </row>
    <row r="89" spans="1:11" ht="15.6" x14ac:dyDescent="0.3">
      <c r="A89" s="84">
        <v>7774</v>
      </c>
      <c r="B89" s="17" t="s">
        <v>697</v>
      </c>
      <c r="C89" s="17" t="s">
        <v>2594</v>
      </c>
      <c r="D89" s="87">
        <v>10</v>
      </c>
      <c r="E89" s="87">
        <v>14</v>
      </c>
      <c r="F89" s="87">
        <v>5</v>
      </c>
      <c r="G89" s="87">
        <v>9</v>
      </c>
      <c r="H89" s="87">
        <v>5</v>
      </c>
      <c r="I89" s="87">
        <v>10</v>
      </c>
      <c r="J89" s="87">
        <v>53</v>
      </c>
      <c r="K89" s="51"/>
    </row>
    <row r="90" spans="1:11" ht="15.6" x14ac:dyDescent="0.3">
      <c r="A90" s="84">
        <v>7340</v>
      </c>
      <c r="B90" s="17" t="s">
        <v>1548</v>
      </c>
      <c r="C90" s="17" t="s">
        <v>2594</v>
      </c>
      <c r="D90" s="87">
        <v>8</v>
      </c>
      <c r="E90" s="87">
        <v>14</v>
      </c>
      <c r="F90" s="87">
        <v>15</v>
      </c>
      <c r="G90" s="87">
        <v>9</v>
      </c>
      <c r="H90" s="87">
        <v>6</v>
      </c>
      <c r="I90" s="87">
        <v>9</v>
      </c>
      <c r="J90" s="87">
        <v>61</v>
      </c>
      <c r="K90" s="51"/>
    </row>
    <row r="91" spans="1:11" ht="15.6" x14ac:dyDescent="0.3">
      <c r="A91" s="84">
        <v>3262</v>
      </c>
      <c r="B91" s="17" t="s">
        <v>2593</v>
      </c>
      <c r="C91" s="17" t="s">
        <v>2594</v>
      </c>
      <c r="D91" s="87">
        <v>13</v>
      </c>
      <c r="E91" s="87">
        <v>8</v>
      </c>
      <c r="F91" s="87">
        <v>9</v>
      </c>
      <c r="G91" s="87">
        <v>13</v>
      </c>
      <c r="H91" s="87">
        <v>9</v>
      </c>
      <c r="I91" s="87">
        <v>5</v>
      </c>
      <c r="J91" s="87">
        <v>57</v>
      </c>
      <c r="K91" s="68"/>
    </row>
    <row r="92" spans="1:11" ht="15.6" x14ac:dyDescent="0.3">
      <c r="A92" s="84">
        <v>7186</v>
      </c>
      <c r="B92" s="17" t="s">
        <v>788</v>
      </c>
      <c r="C92" s="17" t="s">
        <v>2594</v>
      </c>
      <c r="D92" s="87">
        <v>6</v>
      </c>
      <c r="E92" s="87">
        <v>19</v>
      </c>
      <c r="F92" s="87">
        <v>10</v>
      </c>
      <c r="G92" s="87">
        <v>7</v>
      </c>
      <c r="H92" s="87">
        <v>9</v>
      </c>
      <c r="I92" s="87">
        <v>7</v>
      </c>
      <c r="J92" s="87">
        <v>58</v>
      </c>
      <c r="K92" s="51"/>
    </row>
    <row r="93" spans="1:11" ht="15.6" x14ac:dyDescent="0.3">
      <c r="A93" s="84">
        <v>5030</v>
      </c>
      <c r="B93" s="17" t="s">
        <v>1530</v>
      </c>
      <c r="C93" s="17" t="s">
        <v>2594</v>
      </c>
      <c r="D93" s="87">
        <v>6</v>
      </c>
      <c r="E93" s="87">
        <v>11</v>
      </c>
      <c r="F93" s="87">
        <v>14</v>
      </c>
      <c r="G93" s="87">
        <v>15</v>
      </c>
      <c r="H93" s="87">
        <v>5</v>
      </c>
      <c r="I93" s="87">
        <v>9</v>
      </c>
      <c r="J93" s="87">
        <v>60</v>
      </c>
      <c r="K93" s="68"/>
    </row>
    <row r="94" spans="1:11" ht="15.6" x14ac:dyDescent="0.3">
      <c r="A94" s="84">
        <v>4002</v>
      </c>
      <c r="B94" s="17" t="s">
        <v>1248</v>
      </c>
      <c r="C94" s="17" t="s">
        <v>2594</v>
      </c>
      <c r="D94" s="87">
        <v>17</v>
      </c>
      <c r="E94" s="87">
        <v>16</v>
      </c>
      <c r="F94" s="87">
        <v>8</v>
      </c>
      <c r="G94" s="87">
        <v>15</v>
      </c>
      <c r="H94" s="87">
        <v>7</v>
      </c>
      <c r="I94" s="87">
        <v>6</v>
      </c>
      <c r="J94" s="87">
        <v>69</v>
      </c>
      <c r="K94" s="51"/>
    </row>
    <row r="95" spans="1:11" ht="15.6" x14ac:dyDescent="0.3">
      <c r="A95" s="84">
        <v>6408</v>
      </c>
      <c r="B95" s="17" t="s">
        <v>1533</v>
      </c>
      <c r="C95" s="17" t="s">
        <v>2594</v>
      </c>
      <c r="D95" s="87">
        <v>15</v>
      </c>
      <c r="E95" s="87">
        <v>15</v>
      </c>
      <c r="F95" s="87">
        <v>16</v>
      </c>
      <c r="G95" s="87">
        <v>18</v>
      </c>
      <c r="H95" s="87">
        <v>10</v>
      </c>
      <c r="I95" s="87">
        <v>7</v>
      </c>
      <c r="J95" s="87">
        <v>81</v>
      </c>
      <c r="K95" s="51"/>
    </row>
    <row r="96" spans="1:11" ht="15.6" x14ac:dyDescent="0.3">
      <c r="A96" s="84">
        <v>3838</v>
      </c>
      <c r="B96" s="17" t="s">
        <v>1223</v>
      </c>
      <c r="C96" s="17" t="s">
        <v>2594</v>
      </c>
      <c r="D96" s="87">
        <v>5</v>
      </c>
      <c r="E96" s="87">
        <v>7</v>
      </c>
      <c r="F96" s="87">
        <v>18</v>
      </c>
      <c r="G96" s="87">
        <v>13</v>
      </c>
      <c r="H96" s="87">
        <v>9</v>
      </c>
      <c r="I96" s="87">
        <v>7</v>
      </c>
      <c r="J96" s="87">
        <v>59</v>
      </c>
      <c r="K96" s="51"/>
    </row>
    <row r="97" spans="1:11" ht="15.6" x14ac:dyDescent="0.3">
      <c r="A97" s="84">
        <v>8810</v>
      </c>
      <c r="B97" s="17" t="s">
        <v>1216</v>
      </c>
      <c r="C97" s="17" t="s">
        <v>2594</v>
      </c>
      <c r="D97" s="87">
        <v>15</v>
      </c>
      <c r="E97" s="87">
        <v>17</v>
      </c>
      <c r="F97" s="87">
        <v>12</v>
      </c>
      <c r="G97" s="87">
        <v>5</v>
      </c>
      <c r="H97" s="87">
        <v>7</v>
      </c>
      <c r="I97" s="87">
        <v>9</v>
      </c>
      <c r="J97" s="87">
        <v>65</v>
      </c>
      <c r="K97" s="51"/>
    </row>
    <row r="98" spans="1:11" ht="15.6" x14ac:dyDescent="0.3">
      <c r="A98" s="84">
        <v>6640</v>
      </c>
      <c r="B98" s="17" t="s">
        <v>1214</v>
      </c>
      <c r="C98" s="17" t="s">
        <v>2595</v>
      </c>
      <c r="D98" s="87">
        <v>13</v>
      </c>
      <c r="E98" s="87">
        <v>16</v>
      </c>
      <c r="F98" s="87">
        <v>6</v>
      </c>
      <c r="G98" s="87">
        <v>14</v>
      </c>
      <c r="H98" s="87">
        <v>8</v>
      </c>
      <c r="I98" s="87">
        <v>5</v>
      </c>
      <c r="J98" s="87">
        <v>62</v>
      </c>
      <c r="K98" s="51"/>
    </row>
    <row r="99" spans="1:11" ht="15.6" x14ac:dyDescent="0.3">
      <c r="A99" s="84">
        <v>4173</v>
      </c>
      <c r="B99" s="17" t="s">
        <v>1194</v>
      </c>
      <c r="C99" s="17" t="s">
        <v>2595</v>
      </c>
      <c r="D99" s="87">
        <v>12</v>
      </c>
      <c r="E99" s="87">
        <v>18</v>
      </c>
      <c r="F99" s="87">
        <v>16</v>
      </c>
      <c r="G99" s="87">
        <v>11</v>
      </c>
      <c r="H99" s="87">
        <v>6</v>
      </c>
      <c r="I99" s="87">
        <v>6</v>
      </c>
      <c r="J99" s="87">
        <v>69</v>
      </c>
      <c r="K99" s="51"/>
    </row>
    <row r="100" spans="1:11" ht="15.6" x14ac:dyDescent="0.3">
      <c r="A100" s="84">
        <v>6703</v>
      </c>
      <c r="B100" s="17" t="s">
        <v>1541</v>
      </c>
      <c r="C100" s="17" t="s">
        <v>2595</v>
      </c>
      <c r="D100" s="87">
        <v>17</v>
      </c>
      <c r="E100" s="87">
        <v>19</v>
      </c>
      <c r="F100" s="87">
        <v>14</v>
      </c>
      <c r="G100" s="87">
        <v>5</v>
      </c>
      <c r="H100" s="87">
        <v>10</v>
      </c>
      <c r="I100" s="87">
        <v>8</v>
      </c>
      <c r="J100" s="87">
        <v>73</v>
      </c>
      <c r="K100" s="51"/>
    </row>
    <row r="101" spans="1:11" ht="15.6" x14ac:dyDescent="0.3">
      <c r="A101" s="84">
        <v>4475</v>
      </c>
      <c r="B101" s="17" t="s">
        <v>1225</v>
      </c>
      <c r="C101" s="17" t="s">
        <v>2595</v>
      </c>
      <c r="D101" s="87">
        <v>14</v>
      </c>
      <c r="E101" s="87">
        <v>17</v>
      </c>
      <c r="F101" s="87">
        <v>7</v>
      </c>
      <c r="G101" s="87">
        <v>11</v>
      </c>
      <c r="H101" s="87">
        <v>8</v>
      </c>
      <c r="I101" s="87">
        <v>9</v>
      </c>
      <c r="J101" s="87">
        <v>66</v>
      </c>
      <c r="K101" s="51"/>
    </row>
    <row r="102" spans="1:11" ht="15.6" x14ac:dyDescent="0.3">
      <c r="A102" s="84">
        <v>4881</v>
      </c>
      <c r="B102" s="17" t="s">
        <v>195</v>
      </c>
      <c r="C102" s="17" t="s">
        <v>2595</v>
      </c>
      <c r="D102" s="87">
        <v>17</v>
      </c>
      <c r="E102" s="87">
        <v>7</v>
      </c>
      <c r="F102" s="87">
        <v>16</v>
      </c>
      <c r="G102" s="87">
        <v>8</v>
      </c>
      <c r="H102" s="87">
        <v>5</v>
      </c>
      <c r="I102" s="87">
        <v>6</v>
      </c>
      <c r="J102" s="87">
        <v>59</v>
      </c>
      <c r="K102" s="51"/>
    </row>
    <row r="103" spans="1:11" ht="15.6" x14ac:dyDescent="0.3">
      <c r="A103" s="84">
        <v>6931</v>
      </c>
      <c r="B103" s="17" t="s">
        <v>1300</v>
      </c>
      <c r="C103" s="17" t="s">
        <v>2595</v>
      </c>
      <c r="D103" s="87">
        <v>6</v>
      </c>
      <c r="E103" s="87">
        <v>15</v>
      </c>
      <c r="F103" s="87">
        <v>5</v>
      </c>
      <c r="G103" s="87">
        <v>14</v>
      </c>
      <c r="H103" s="87">
        <v>10</v>
      </c>
      <c r="I103" s="87">
        <v>9</v>
      </c>
      <c r="J103" s="87">
        <v>59</v>
      </c>
      <c r="K103" s="51"/>
    </row>
    <row r="104" spans="1:11" ht="15.6" x14ac:dyDescent="0.3">
      <c r="A104" s="84">
        <v>4678</v>
      </c>
      <c r="B104" s="17" t="s">
        <v>1546</v>
      </c>
      <c r="C104" s="17" t="s">
        <v>2595</v>
      </c>
      <c r="D104" s="87">
        <v>18</v>
      </c>
      <c r="E104" s="87">
        <v>14</v>
      </c>
      <c r="F104" s="87">
        <v>8</v>
      </c>
      <c r="G104" s="87">
        <v>18</v>
      </c>
      <c r="H104" s="87">
        <v>7</v>
      </c>
      <c r="I104" s="87">
        <v>8</v>
      </c>
      <c r="J104" s="87">
        <v>73</v>
      </c>
      <c r="K104" s="51"/>
    </row>
    <row r="105" spans="1:11" ht="15.6" x14ac:dyDescent="0.3">
      <c r="A105" s="84">
        <v>4785</v>
      </c>
      <c r="B105" s="17" t="s">
        <v>768</v>
      </c>
      <c r="C105" s="17" t="s">
        <v>2595</v>
      </c>
      <c r="D105" s="87">
        <v>6</v>
      </c>
      <c r="E105" s="87">
        <v>19</v>
      </c>
      <c r="F105" s="87">
        <v>12</v>
      </c>
      <c r="G105" s="87">
        <v>12</v>
      </c>
      <c r="H105" s="87">
        <v>9</v>
      </c>
      <c r="I105" s="87">
        <v>8</v>
      </c>
      <c r="J105" s="87">
        <v>66</v>
      </c>
      <c r="K105" s="51"/>
    </row>
    <row r="106" spans="1:11" ht="15.6" x14ac:dyDescent="0.3">
      <c r="A106" s="84">
        <v>5584</v>
      </c>
      <c r="B106" s="17" t="s">
        <v>1220</v>
      </c>
      <c r="C106" s="17" t="s">
        <v>2595</v>
      </c>
      <c r="D106" s="87">
        <v>7</v>
      </c>
      <c r="E106" s="87">
        <v>15</v>
      </c>
      <c r="F106" s="87">
        <v>11</v>
      </c>
      <c r="G106" s="87">
        <v>17</v>
      </c>
      <c r="H106" s="87">
        <v>9</v>
      </c>
      <c r="I106" s="87">
        <v>8</v>
      </c>
      <c r="J106" s="87">
        <v>67</v>
      </c>
      <c r="K106" s="51"/>
    </row>
    <row r="107" spans="1:11" ht="15.6" x14ac:dyDescent="0.3">
      <c r="A107" s="84">
        <v>8706</v>
      </c>
      <c r="B107" s="17" t="s">
        <v>1539</v>
      </c>
      <c r="C107" s="17" t="s">
        <v>2595</v>
      </c>
      <c r="D107" s="87">
        <v>5</v>
      </c>
      <c r="E107" s="87">
        <v>15</v>
      </c>
      <c r="F107" s="87">
        <v>7</v>
      </c>
      <c r="G107" s="87">
        <v>11</v>
      </c>
      <c r="H107" s="87">
        <v>8</v>
      </c>
      <c r="I107" s="87">
        <v>9</v>
      </c>
      <c r="J107" s="87">
        <v>55</v>
      </c>
      <c r="K107" s="51"/>
    </row>
    <row r="108" spans="1:11" ht="15.6" x14ac:dyDescent="0.3">
      <c r="A108" s="84">
        <v>4792</v>
      </c>
      <c r="B108" s="17" t="s">
        <v>383</v>
      </c>
      <c r="C108" s="17" t="s">
        <v>2595</v>
      </c>
      <c r="D108" s="87">
        <v>18</v>
      </c>
      <c r="E108" s="87">
        <v>6</v>
      </c>
      <c r="F108" s="87">
        <v>19</v>
      </c>
      <c r="G108" s="87">
        <v>7</v>
      </c>
      <c r="H108" s="87">
        <v>10</v>
      </c>
      <c r="I108" s="87">
        <v>9</v>
      </c>
      <c r="J108" s="87">
        <v>69</v>
      </c>
      <c r="K108" s="51"/>
    </row>
    <row r="109" spans="1:11" ht="15.6" x14ac:dyDescent="0.3">
      <c r="A109" s="84">
        <v>6650</v>
      </c>
      <c r="B109" s="17" t="s">
        <v>778</v>
      </c>
      <c r="C109" s="17" t="s">
        <v>2595</v>
      </c>
      <c r="D109" s="87">
        <v>12</v>
      </c>
      <c r="E109" s="87">
        <v>12</v>
      </c>
      <c r="F109" s="87">
        <v>19</v>
      </c>
      <c r="G109" s="87">
        <v>5</v>
      </c>
      <c r="H109" s="87">
        <v>6</v>
      </c>
      <c r="I109" s="87">
        <v>10</v>
      </c>
      <c r="J109" s="87">
        <v>64</v>
      </c>
      <c r="K109" s="51"/>
    </row>
    <row r="110" spans="1:11" ht="15.6" x14ac:dyDescent="0.3">
      <c r="A110" s="84">
        <v>4431</v>
      </c>
      <c r="B110" s="17" t="s">
        <v>217</v>
      </c>
      <c r="C110" s="17" t="s">
        <v>2595</v>
      </c>
      <c r="D110" s="87">
        <v>6</v>
      </c>
      <c r="E110" s="87">
        <v>19</v>
      </c>
      <c r="F110" s="87">
        <v>9</v>
      </c>
      <c r="G110" s="87">
        <v>18</v>
      </c>
      <c r="H110" s="87">
        <v>8</v>
      </c>
      <c r="I110" s="87">
        <v>6</v>
      </c>
      <c r="J110" s="87">
        <v>66</v>
      </c>
      <c r="K110" s="51"/>
    </row>
    <row r="111" spans="1:11" ht="15.6" x14ac:dyDescent="0.3">
      <c r="A111" s="84">
        <v>8976</v>
      </c>
      <c r="B111" s="17" t="s">
        <v>760</v>
      </c>
      <c r="C111" s="17" t="s">
        <v>2595</v>
      </c>
      <c r="D111" s="87">
        <v>16</v>
      </c>
      <c r="E111" s="87">
        <v>7</v>
      </c>
      <c r="F111" s="87">
        <v>18</v>
      </c>
      <c r="G111" s="87">
        <v>19</v>
      </c>
      <c r="H111" s="87">
        <v>9</v>
      </c>
      <c r="I111" s="87">
        <v>5</v>
      </c>
      <c r="J111" s="87">
        <v>74</v>
      </c>
      <c r="K111" s="51"/>
    </row>
    <row r="112" spans="1:11" ht="15.6" x14ac:dyDescent="0.3">
      <c r="A112" s="84">
        <v>6039</v>
      </c>
      <c r="B112" s="17" t="s">
        <v>775</v>
      </c>
      <c r="C112" s="17" t="s">
        <v>2595</v>
      </c>
      <c r="D112" s="87">
        <v>13</v>
      </c>
      <c r="E112" s="87">
        <v>7</v>
      </c>
      <c r="F112" s="87">
        <v>11</v>
      </c>
      <c r="G112" s="87">
        <v>15</v>
      </c>
      <c r="H112" s="87">
        <v>10</v>
      </c>
      <c r="I112" s="87">
        <v>10</v>
      </c>
      <c r="J112" s="87">
        <v>66</v>
      </c>
      <c r="K112" s="51"/>
    </row>
    <row r="113" spans="1:11" ht="15.6" x14ac:dyDescent="0.3">
      <c r="A113" s="84">
        <v>6217</v>
      </c>
      <c r="B113" s="17" t="s">
        <v>334</v>
      </c>
      <c r="C113" s="17" t="s">
        <v>2595</v>
      </c>
      <c r="D113" s="87">
        <v>6</v>
      </c>
      <c r="E113" s="87">
        <v>19</v>
      </c>
      <c r="F113" s="87">
        <v>19</v>
      </c>
      <c r="G113" s="87">
        <v>16</v>
      </c>
      <c r="H113" s="87">
        <v>5</v>
      </c>
      <c r="I113" s="87">
        <v>8</v>
      </c>
      <c r="J113" s="87">
        <v>73</v>
      </c>
      <c r="K113" s="51"/>
    </row>
    <row r="114" spans="1:11" ht="15.6" x14ac:dyDescent="0.3">
      <c r="A114" s="84">
        <v>7678</v>
      </c>
      <c r="B114" s="17" t="s">
        <v>1294</v>
      </c>
      <c r="C114" s="17" t="s">
        <v>2595</v>
      </c>
      <c r="D114" s="87">
        <v>8</v>
      </c>
      <c r="E114" s="87">
        <v>8</v>
      </c>
      <c r="F114" s="87">
        <v>13</v>
      </c>
      <c r="G114" s="87">
        <v>12</v>
      </c>
      <c r="H114" s="87">
        <v>10</v>
      </c>
      <c r="I114" s="87">
        <v>10</v>
      </c>
      <c r="J114" s="87">
        <v>61</v>
      </c>
      <c r="K114" s="51"/>
    </row>
    <row r="115" spans="1:11" ht="15.6" x14ac:dyDescent="0.3">
      <c r="A115" s="84">
        <v>4664</v>
      </c>
      <c r="B115" s="17" t="s">
        <v>1234</v>
      </c>
      <c r="C115" s="17" t="s">
        <v>2595</v>
      </c>
      <c r="D115" s="87">
        <v>11</v>
      </c>
      <c r="E115" s="87">
        <v>18</v>
      </c>
      <c r="F115" s="87">
        <v>20</v>
      </c>
      <c r="G115" s="87">
        <v>18</v>
      </c>
      <c r="H115" s="87">
        <v>10</v>
      </c>
      <c r="I115" s="87">
        <v>9</v>
      </c>
      <c r="J115" s="87">
        <v>86</v>
      </c>
      <c r="K115" s="51"/>
    </row>
    <row r="116" spans="1:11" ht="15.6" x14ac:dyDescent="0.3">
      <c r="A116" s="84">
        <v>7530</v>
      </c>
      <c r="B116" s="17" t="s">
        <v>1212</v>
      </c>
      <c r="C116" s="17" t="s">
        <v>2595</v>
      </c>
      <c r="D116" s="87">
        <v>14</v>
      </c>
      <c r="E116" s="87">
        <v>19</v>
      </c>
      <c r="F116" s="87">
        <v>13</v>
      </c>
      <c r="G116" s="87">
        <v>12</v>
      </c>
      <c r="H116" s="87">
        <v>9</v>
      </c>
      <c r="I116" s="87">
        <v>9</v>
      </c>
      <c r="J116" s="87">
        <v>76</v>
      </c>
      <c r="K116" s="51"/>
    </row>
    <row r="117" spans="1:11" ht="15.6" x14ac:dyDescent="0.3">
      <c r="A117" s="84">
        <v>3373</v>
      </c>
      <c r="B117" s="17" t="s">
        <v>771</v>
      </c>
      <c r="C117" s="17" t="s">
        <v>2599</v>
      </c>
      <c r="D117" s="87">
        <v>15</v>
      </c>
      <c r="E117" s="87">
        <v>9</v>
      </c>
      <c r="F117" s="87">
        <v>11</v>
      </c>
      <c r="G117" s="87">
        <v>19</v>
      </c>
      <c r="H117" s="87">
        <v>10</v>
      </c>
      <c r="I117" s="87">
        <v>5</v>
      </c>
      <c r="J117" s="87">
        <v>69</v>
      </c>
      <c r="K117" s="51"/>
    </row>
    <row r="118" spans="1:11" ht="15.6" x14ac:dyDescent="0.3">
      <c r="A118" s="84">
        <v>3529</v>
      </c>
      <c r="B118" s="17" t="s">
        <v>287</v>
      </c>
      <c r="C118" s="17" t="s">
        <v>2599</v>
      </c>
      <c r="D118" s="87">
        <v>10</v>
      </c>
      <c r="E118" s="87">
        <v>14</v>
      </c>
      <c r="F118" s="87">
        <v>15</v>
      </c>
      <c r="G118" s="87">
        <v>6</v>
      </c>
      <c r="H118" s="87">
        <v>5</v>
      </c>
      <c r="I118" s="87">
        <v>8</v>
      </c>
      <c r="J118" s="87">
        <v>58</v>
      </c>
      <c r="K118" s="51"/>
    </row>
    <row r="119" spans="1:11" ht="15.6" x14ac:dyDescent="0.3">
      <c r="A119" s="84">
        <v>7682</v>
      </c>
      <c r="B119" s="17" t="s">
        <v>1545</v>
      </c>
      <c r="C119" s="17" t="s">
        <v>2599</v>
      </c>
      <c r="D119" s="87">
        <v>7</v>
      </c>
      <c r="E119" s="87">
        <v>12</v>
      </c>
      <c r="F119" s="87">
        <v>20</v>
      </c>
      <c r="G119" s="87">
        <v>5</v>
      </c>
      <c r="H119" s="87">
        <v>5</v>
      </c>
      <c r="I119" s="87">
        <v>10</v>
      </c>
      <c r="J119" s="87">
        <v>59</v>
      </c>
      <c r="K119" s="68"/>
    </row>
    <row r="120" spans="1:11" ht="15.6" x14ac:dyDescent="0.3">
      <c r="A120" s="84">
        <v>7981</v>
      </c>
      <c r="B120" s="17" t="s">
        <v>262</v>
      </c>
      <c r="C120" s="17" t="s">
        <v>2599</v>
      </c>
      <c r="D120" s="87">
        <v>20</v>
      </c>
      <c r="E120" s="87">
        <v>7</v>
      </c>
      <c r="F120" s="87">
        <v>10</v>
      </c>
      <c r="G120" s="87">
        <v>10</v>
      </c>
      <c r="H120" s="87">
        <v>8</v>
      </c>
      <c r="I120" s="87">
        <v>5</v>
      </c>
      <c r="J120" s="87">
        <v>60</v>
      </c>
      <c r="K120" s="51"/>
    </row>
    <row r="121" spans="1:11" ht="15.6" x14ac:dyDescent="0.3">
      <c r="A121" s="84">
        <v>5066</v>
      </c>
      <c r="B121" s="17" t="s">
        <v>1269</v>
      </c>
      <c r="C121" s="17" t="s">
        <v>2599</v>
      </c>
      <c r="D121" s="87">
        <v>10</v>
      </c>
      <c r="E121" s="87">
        <v>5</v>
      </c>
      <c r="F121" s="87">
        <v>20</v>
      </c>
      <c r="G121" s="87">
        <v>14</v>
      </c>
      <c r="H121" s="87">
        <v>10</v>
      </c>
      <c r="I121" s="87">
        <v>5</v>
      </c>
      <c r="J121" s="87">
        <v>64</v>
      </c>
      <c r="K121" s="51"/>
    </row>
    <row r="122" spans="1:11" ht="15.6" x14ac:dyDescent="0.3">
      <c r="A122" s="84">
        <v>4631</v>
      </c>
      <c r="B122" s="17" t="s">
        <v>289</v>
      </c>
      <c r="C122" s="17" t="s">
        <v>2599</v>
      </c>
      <c r="D122" s="87">
        <v>16</v>
      </c>
      <c r="E122" s="87">
        <v>8</v>
      </c>
      <c r="F122" s="87">
        <v>5</v>
      </c>
      <c r="G122" s="87">
        <v>6</v>
      </c>
      <c r="H122" s="87">
        <v>6</v>
      </c>
      <c r="I122" s="87">
        <v>5</v>
      </c>
      <c r="J122" s="87">
        <v>46</v>
      </c>
      <c r="K122" s="51"/>
    </row>
    <row r="123" spans="1:11" ht="15.6" x14ac:dyDescent="0.3">
      <c r="A123" s="84">
        <v>3648</v>
      </c>
      <c r="B123" s="17" t="s">
        <v>1308</v>
      </c>
      <c r="C123" s="17" t="s">
        <v>2599</v>
      </c>
      <c r="D123" s="87">
        <v>9</v>
      </c>
      <c r="E123" s="87">
        <v>18</v>
      </c>
      <c r="F123" s="87">
        <v>16</v>
      </c>
      <c r="G123" s="87">
        <v>20</v>
      </c>
      <c r="H123" s="87">
        <v>5</v>
      </c>
      <c r="I123" s="87">
        <v>6</v>
      </c>
      <c r="J123" s="87">
        <v>74</v>
      </c>
      <c r="K123" s="51"/>
    </row>
    <row r="124" spans="1:11" ht="15.6" x14ac:dyDescent="0.3">
      <c r="A124" s="84">
        <v>3675</v>
      </c>
      <c r="B124" s="17" t="s">
        <v>12</v>
      </c>
      <c r="C124" s="17" t="s">
        <v>2599</v>
      </c>
      <c r="D124" s="87">
        <v>10</v>
      </c>
      <c r="E124" s="87">
        <v>18</v>
      </c>
      <c r="F124" s="87">
        <v>11</v>
      </c>
      <c r="G124" s="87">
        <v>6</v>
      </c>
      <c r="H124" s="87">
        <v>5</v>
      </c>
      <c r="I124" s="87">
        <v>7</v>
      </c>
      <c r="J124" s="87">
        <v>57</v>
      </c>
      <c r="K124" s="51"/>
    </row>
    <row r="125" spans="1:11" ht="15.6" x14ac:dyDescent="0.3">
      <c r="A125" s="84">
        <v>4258</v>
      </c>
      <c r="B125" s="17" t="s">
        <v>14</v>
      </c>
      <c r="C125" s="17" t="s">
        <v>2599</v>
      </c>
      <c r="D125" s="87">
        <v>20</v>
      </c>
      <c r="E125" s="87">
        <v>14</v>
      </c>
      <c r="F125" s="87">
        <v>6</v>
      </c>
      <c r="G125" s="87">
        <v>15</v>
      </c>
      <c r="H125" s="87">
        <v>8</v>
      </c>
      <c r="I125" s="87">
        <v>6</v>
      </c>
      <c r="J125" s="87">
        <v>69</v>
      </c>
      <c r="K125" s="51"/>
    </row>
    <row r="126" spans="1:11" ht="15.6" x14ac:dyDescent="0.3">
      <c r="A126" s="84">
        <v>7577</v>
      </c>
      <c r="B126" s="17" t="s">
        <v>271</v>
      </c>
      <c r="C126" s="17" t="s">
        <v>2599</v>
      </c>
      <c r="D126" s="87">
        <v>6</v>
      </c>
      <c r="E126" s="87">
        <v>8</v>
      </c>
      <c r="F126" s="87">
        <v>20</v>
      </c>
      <c r="G126" s="87">
        <v>17</v>
      </c>
      <c r="H126" s="87">
        <v>6</v>
      </c>
      <c r="I126" s="87">
        <v>7</v>
      </c>
      <c r="J126" s="87">
        <v>64</v>
      </c>
      <c r="K126" s="51"/>
    </row>
    <row r="127" spans="1:11" ht="15.6" x14ac:dyDescent="0.3">
      <c r="A127" s="84">
        <v>7791</v>
      </c>
      <c r="B127" s="17" t="s">
        <v>273</v>
      </c>
      <c r="C127" s="17" t="s">
        <v>2599</v>
      </c>
      <c r="D127" s="87">
        <v>9</v>
      </c>
      <c r="E127" s="87">
        <v>13</v>
      </c>
      <c r="F127" s="87">
        <v>19</v>
      </c>
      <c r="G127" s="87">
        <v>15</v>
      </c>
      <c r="H127" s="87">
        <v>9</v>
      </c>
      <c r="I127" s="87">
        <v>10</v>
      </c>
      <c r="J127" s="87">
        <v>75</v>
      </c>
      <c r="K127" s="51"/>
    </row>
    <row r="128" spans="1:11" ht="15.6" x14ac:dyDescent="0.3">
      <c r="A128" s="84">
        <v>7186</v>
      </c>
      <c r="B128" s="17" t="s">
        <v>263</v>
      </c>
      <c r="C128" s="17" t="s">
        <v>2599</v>
      </c>
      <c r="D128" s="87">
        <v>18</v>
      </c>
      <c r="E128" s="87">
        <v>5</v>
      </c>
      <c r="F128" s="87">
        <v>7</v>
      </c>
      <c r="G128" s="87">
        <v>17</v>
      </c>
      <c r="H128" s="87">
        <v>7</v>
      </c>
      <c r="I128" s="87">
        <v>5</v>
      </c>
      <c r="J128" s="87">
        <v>59</v>
      </c>
      <c r="K128" s="51"/>
    </row>
    <row r="129" spans="1:11" ht="15.6" x14ac:dyDescent="0.3">
      <c r="A129" s="84">
        <v>8132</v>
      </c>
      <c r="B129" s="17" t="s">
        <v>1544</v>
      </c>
      <c r="C129" s="17" t="s">
        <v>2599</v>
      </c>
      <c r="D129" s="87">
        <v>11</v>
      </c>
      <c r="E129" s="87">
        <v>20</v>
      </c>
      <c r="F129" s="87">
        <v>8</v>
      </c>
      <c r="G129" s="87">
        <v>12</v>
      </c>
      <c r="H129" s="87">
        <v>5</v>
      </c>
      <c r="I129" s="87">
        <v>6</v>
      </c>
      <c r="J129" s="87">
        <v>62</v>
      </c>
      <c r="K129" s="51"/>
    </row>
    <row r="130" spans="1:11" ht="15.6" x14ac:dyDescent="0.3">
      <c r="A130" s="84">
        <v>5861</v>
      </c>
      <c r="B130" s="17" t="s">
        <v>2598</v>
      </c>
      <c r="C130" s="17" t="s">
        <v>2599</v>
      </c>
      <c r="D130" s="87">
        <v>9</v>
      </c>
      <c r="E130" s="87">
        <v>7</v>
      </c>
      <c r="F130" s="87">
        <v>16</v>
      </c>
      <c r="G130" s="87">
        <v>9</v>
      </c>
      <c r="H130" s="87">
        <v>6</v>
      </c>
      <c r="I130" s="87">
        <v>8</v>
      </c>
      <c r="J130" s="87">
        <v>55</v>
      </c>
      <c r="K130" s="68"/>
    </row>
    <row r="131" spans="1:11" ht="15.6" x14ac:dyDescent="0.3">
      <c r="A131" s="84">
        <v>6521</v>
      </c>
      <c r="B131" s="17" t="s">
        <v>1232</v>
      </c>
      <c r="C131" s="17" t="s">
        <v>2599</v>
      </c>
      <c r="D131" s="87">
        <v>16</v>
      </c>
      <c r="E131" s="87">
        <v>17</v>
      </c>
      <c r="F131" s="87">
        <v>18</v>
      </c>
      <c r="G131" s="87">
        <v>18</v>
      </c>
      <c r="H131" s="87">
        <v>10</v>
      </c>
      <c r="I131" s="87">
        <v>6</v>
      </c>
      <c r="J131" s="87">
        <v>85</v>
      </c>
      <c r="K131" s="68"/>
    </row>
    <row r="132" spans="1:11" ht="15.6" x14ac:dyDescent="0.3">
      <c r="A132" s="84">
        <v>5372</v>
      </c>
      <c r="B132" s="17" t="s">
        <v>2596</v>
      </c>
      <c r="C132" s="17" t="s">
        <v>2599</v>
      </c>
      <c r="D132" s="87">
        <v>5</v>
      </c>
      <c r="E132" s="87">
        <v>15</v>
      </c>
      <c r="F132" s="87">
        <v>8</v>
      </c>
      <c r="G132" s="87">
        <v>9</v>
      </c>
      <c r="H132" s="87">
        <v>5</v>
      </c>
      <c r="I132" s="87">
        <v>10</v>
      </c>
      <c r="J132" s="87">
        <v>52</v>
      </c>
      <c r="K132" s="68"/>
    </row>
    <row r="133" spans="1:11" ht="15.6" x14ac:dyDescent="0.3">
      <c r="A133" s="84">
        <v>3146</v>
      </c>
      <c r="B133" s="17" t="s">
        <v>2597</v>
      </c>
      <c r="C133" s="17" t="s">
        <v>2599</v>
      </c>
      <c r="D133" s="87">
        <v>20</v>
      </c>
      <c r="E133" s="87">
        <v>5</v>
      </c>
      <c r="F133" s="87">
        <v>17</v>
      </c>
      <c r="G133" s="87">
        <v>6</v>
      </c>
      <c r="H133" s="87">
        <v>10</v>
      </c>
      <c r="I133" s="87">
        <v>6</v>
      </c>
      <c r="J133" s="87">
        <v>64</v>
      </c>
      <c r="K133" s="68"/>
    </row>
    <row r="134" spans="1:11" ht="15.6" x14ac:dyDescent="0.3">
      <c r="A134" s="84">
        <v>5345</v>
      </c>
      <c r="B134" s="17" t="s">
        <v>1494</v>
      </c>
      <c r="C134" s="17" t="s">
        <v>2599</v>
      </c>
      <c r="D134" s="87">
        <v>18</v>
      </c>
      <c r="E134" s="87">
        <v>9</v>
      </c>
      <c r="F134" s="87">
        <v>20</v>
      </c>
      <c r="G134" s="87">
        <v>19</v>
      </c>
      <c r="H134" s="87">
        <v>10</v>
      </c>
      <c r="I134" s="87">
        <v>6</v>
      </c>
      <c r="J134" s="87">
        <v>82</v>
      </c>
      <c r="K134" s="51"/>
    </row>
    <row r="135" spans="1:11" ht="15.6" x14ac:dyDescent="0.3">
      <c r="A135" s="84">
        <v>8784</v>
      </c>
      <c r="B135" s="17" t="s">
        <v>1542</v>
      </c>
      <c r="C135" s="17" t="s">
        <v>2599</v>
      </c>
      <c r="D135" s="87">
        <v>6</v>
      </c>
      <c r="E135" s="87">
        <v>20</v>
      </c>
      <c r="F135" s="87">
        <v>7</v>
      </c>
      <c r="G135" s="87">
        <v>20</v>
      </c>
      <c r="H135" s="87">
        <v>5</v>
      </c>
      <c r="I135" s="87">
        <v>7</v>
      </c>
      <c r="J135" s="87">
        <v>65</v>
      </c>
      <c r="K135" s="68"/>
    </row>
    <row r="136" spans="1:11" ht="15.6" x14ac:dyDescent="0.3">
      <c r="A136" s="84">
        <v>5393</v>
      </c>
      <c r="B136" s="17" t="s">
        <v>1273</v>
      </c>
      <c r="C136" s="17" t="s">
        <v>2603</v>
      </c>
      <c r="D136" s="87">
        <v>7</v>
      </c>
      <c r="E136" s="87">
        <v>15</v>
      </c>
      <c r="F136" s="87">
        <v>16</v>
      </c>
      <c r="G136" s="87">
        <v>11</v>
      </c>
      <c r="H136" s="87">
        <v>10</v>
      </c>
      <c r="I136" s="87">
        <v>9</v>
      </c>
      <c r="J136" s="87">
        <v>68</v>
      </c>
      <c r="K136" s="51"/>
    </row>
    <row r="137" spans="1:11" ht="15.6" x14ac:dyDescent="0.3">
      <c r="A137" s="84">
        <v>5601</v>
      </c>
      <c r="B137" s="17" t="s">
        <v>1281</v>
      </c>
      <c r="C137" s="17" t="s">
        <v>2603</v>
      </c>
      <c r="D137" s="87">
        <v>17</v>
      </c>
      <c r="E137" s="87">
        <v>16</v>
      </c>
      <c r="F137" s="87">
        <v>13</v>
      </c>
      <c r="G137" s="87">
        <v>18</v>
      </c>
      <c r="H137" s="87">
        <v>10</v>
      </c>
      <c r="I137" s="87">
        <v>9</v>
      </c>
      <c r="J137" s="87">
        <v>83</v>
      </c>
      <c r="K137" s="51"/>
    </row>
    <row r="138" spans="1:11" ht="15.6" x14ac:dyDescent="0.3">
      <c r="A138" s="84">
        <v>5198</v>
      </c>
      <c r="B138" s="17" t="s">
        <v>180</v>
      </c>
      <c r="C138" s="17" t="s">
        <v>2603</v>
      </c>
      <c r="D138" s="87">
        <v>19</v>
      </c>
      <c r="E138" s="87">
        <v>16</v>
      </c>
      <c r="F138" s="87">
        <v>19</v>
      </c>
      <c r="G138" s="87">
        <v>17</v>
      </c>
      <c r="H138" s="87">
        <v>10</v>
      </c>
      <c r="I138" s="87">
        <v>8</v>
      </c>
      <c r="J138" s="87">
        <v>89</v>
      </c>
      <c r="K138" s="51"/>
    </row>
    <row r="139" spans="1:11" ht="15.6" x14ac:dyDescent="0.3">
      <c r="A139" s="84">
        <v>5146</v>
      </c>
      <c r="B139" s="17" t="s">
        <v>193</v>
      </c>
      <c r="C139" s="17" t="s">
        <v>2603</v>
      </c>
      <c r="D139" s="87">
        <v>10</v>
      </c>
      <c r="E139" s="87">
        <v>19</v>
      </c>
      <c r="F139" s="87">
        <v>5</v>
      </c>
      <c r="G139" s="87">
        <v>15</v>
      </c>
      <c r="H139" s="87">
        <v>8</v>
      </c>
      <c r="I139" s="87">
        <v>8</v>
      </c>
      <c r="J139" s="87">
        <v>65</v>
      </c>
      <c r="K139" s="51"/>
    </row>
    <row r="140" spans="1:11" ht="15.6" x14ac:dyDescent="0.3">
      <c r="A140" s="84">
        <v>6818</v>
      </c>
      <c r="B140" s="17" t="s">
        <v>1333</v>
      </c>
      <c r="C140" s="17" t="s">
        <v>2603</v>
      </c>
      <c r="D140" s="87">
        <v>13</v>
      </c>
      <c r="E140" s="87">
        <v>15</v>
      </c>
      <c r="F140" s="87">
        <v>11</v>
      </c>
      <c r="G140" s="87">
        <v>17</v>
      </c>
      <c r="H140" s="87">
        <v>10</v>
      </c>
      <c r="I140" s="87">
        <v>6</v>
      </c>
      <c r="J140" s="87">
        <v>72</v>
      </c>
      <c r="K140" s="51"/>
    </row>
    <row r="141" spans="1:11" ht="15.6" x14ac:dyDescent="0.3">
      <c r="A141" s="84">
        <v>6439</v>
      </c>
      <c r="B141" s="17" t="s">
        <v>2602</v>
      </c>
      <c r="C141" s="17" t="s">
        <v>2603</v>
      </c>
      <c r="D141" s="87">
        <v>18</v>
      </c>
      <c r="E141" s="87">
        <v>16</v>
      </c>
      <c r="F141" s="87">
        <v>17</v>
      </c>
      <c r="G141" s="87">
        <v>15</v>
      </c>
      <c r="H141" s="87">
        <v>8</v>
      </c>
      <c r="I141" s="87">
        <v>9</v>
      </c>
      <c r="J141" s="87">
        <v>83</v>
      </c>
      <c r="K141" s="51"/>
    </row>
    <row r="142" spans="1:11" ht="15.6" x14ac:dyDescent="0.3">
      <c r="A142" s="84">
        <v>6156</v>
      </c>
      <c r="B142" s="17" t="s">
        <v>2600</v>
      </c>
      <c r="C142" s="17" t="s">
        <v>2603</v>
      </c>
      <c r="D142" s="87">
        <v>9</v>
      </c>
      <c r="E142" s="87">
        <v>9</v>
      </c>
      <c r="F142" s="87">
        <v>19</v>
      </c>
      <c r="G142" s="87">
        <v>19</v>
      </c>
      <c r="H142" s="87">
        <v>10</v>
      </c>
      <c r="I142" s="87">
        <v>8</v>
      </c>
      <c r="J142" s="87">
        <v>74</v>
      </c>
      <c r="K142" s="51"/>
    </row>
    <row r="143" spans="1:11" ht="15.6" x14ac:dyDescent="0.3">
      <c r="A143" s="84">
        <v>8298</v>
      </c>
      <c r="B143" s="17" t="s">
        <v>1298</v>
      </c>
      <c r="C143" s="17" t="s">
        <v>2603</v>
      </c>
      <c r="D143" s="87">
        <v>15</v>
      </c>
      <c r="E143" s="87">
        <v>10</v>
      </c>
      <c r="F143" s="87">
        <v>13</v>
      </c>
      <c r="G143" s="87">
        <v>18</v>
      </c>
      <c r="H143" s="87">
        <v>6</v>
      </c>
      <c r="I143" s="87">
        <v>7</v>
      </c>
      <c r="J143" s="87">
        <v>69</v>
      </c>
      <c r="K143" s="51"/>
    </row>
    <row r="144" spans="1:11" ht="15.6" x14ac:dyDescent="0.3">
      <c r="A144" s="84">
        <v>4390</v>
      </c>
      <c r="B144" s="17" t="s">
        <v>2601</v>
      </c>
      <c r="C144" s="17" t="s">
        <v>2603</v>
      </c>
      <c r="D144" s="87">
        <v>13</v>
      </c>
      <c r="E144" s="87">
        <v>8</v>
      </c>
      <c r="F144" s="87">
        <v>19</v>
      </c>
      <c r="G144" s="87">
        <v>12</v>
      </c>
      <c r="H144" s="87">
        <v>9</v>
      </c>
      <c r="I144" s="87">
        <v>7</v>
      </c>
      <c r="J144" s="87">
        <v>68</v>
      </c>
      <c r="K144" s="68"/>
    </row>
    <row r="145" spans="1:11" ht="15.6" x14ac:dyDescent="0.3">
      <c r="A145" s="84">
        <v>7344</v>
      </c>
      <c r="B145" s="17" t="s">
        <v>1283</v>
      </c>
      <c r="C145" s="17" t="s">
        <v>2603</v>
      </c>
      <c r="D145" s="87">
        <v>12</v>
      </c>
      <c r="E145" s="87">
        <v>10</v>
      </c>
      <c r="F145" s="87">
        <v>11</v>
      </c>
      <c r="G145" s="87">
        <v>12</v>
      </c>
      <c r="H145" s="87">
        <v>5</v>
      </c>
      <c r="I145" s="87">
        <v>9</v>
      </c>
      <c r="J145" s="87">
        <v>59</v>
      </c>
      <c r="K145" s="51"/>
    </row>
    <row r="146" spans="1:11" ht="15.6" x14ac:dyDescent="0.3">
      <c r="A146" s="84">
        <v>8575</v>
      </c>
      <c r="B146" s="17" t="s">
        <v>1406</v>
      </c>
      <c r="C146" s="17" t="s">
        <v>2603</v>
      </c>
      <c r="D146" s="87">
        <v>19</v>
      </c>
      <c r="E146" s="87">
        <v>5</v>
      </c>
      <c r="F146" s="87">
        <v>11</v>
      </c>
      <c r="G146" s="87">
        <v>11</v>
      </c>
      <c r="H146" s="87">
        <v>9</v>
      </c>
      <c r="I146" s="87">
        <v>7</v>
      </c>
      <c r="J146" s="87">
        <v>62</v>
      </c>
      <c r="K146" s="51"/>
    </row>
    <row r="147" spans="1:11" ht="15.6" x14ac:dyDescent="0.3">
      <c r="A147" s="84">
        <v>7134</v>
      </c>
      <c r="B147" s="17" t="s">
        <v>1277</v>
      </c>
      <c r="C147" s="17" t="s">
        <v>2603</v>
      </c>
      <c r="D147" s="87">
        <v>17</v>
      </c>
      <c r="E147" s="87">
        <v>16</v>
      </c>
      <c r="F147" s="87">
        <v>9</v>
      </c>
      <c r="G147" s="87">
        <v>8</v>
      </c>
      <c r="H147" s="87">
        <v>5</v>
      </c>
      <c r="I147" s="87">
        <v>7</v>
      </c>
      <c r="J147" s="87">
        <v>62</v>
      </c>
      <c r="K147" s="51"/>
    </row>
    <row r="148" spans="1:11" ht="15.6" x14ac:dyDescent="0.3">
      <c r="A148" s="84">
        <v>5729</v>
      </c>
      <c r="B148" s="17" t="s">
        <v>234</v>
      </c>
      <c r="C148" s="17" t="s">
        <v>2603</v>
      </c>
      <c r="D148" s="87">
        <v>6</v>
      </c>
      <c r="E148" s="87">
        <v>15</v>
      </c>
      <c r="F148" s="87">
        <v>7</v>
      </c>
      <c r="G148" s="87">
        <v>16</v>
      </c>
      <c r="H148" s="87">
        <v>7</v>
      </c>
      <c r="I148" s="87">
        <v>8</v>
      </c>
      <c r="J148" s="87">
        <v>59</v>
      </c>
      <c r="K148" s="51"/>
    </row>
    <row r="149" spans="1:11" ht="15.6" x14ac:dyDescent="0.3">
      <c r="A149" s="84">
        <v>8244</v>
      </c>
      <c r="B149" s="17" t="s">
        <v>201</v>
      </c>
      <c r="C149" s="17" t="s">
        <v>2603</v>
      </c>
      <c r="D149" s="87">
        <v>18</v>
      </c>
      <c r="E149" s="87">
        <v>17</v>
      </c>
      <c r="F149" s="87">
        <v>5</v>
      </c>
      <c r="G149" s="87">
        <v>8</v>
      </c>
      <c r="H149" s="87">
        <v>8</v>
      </c>
      <c r="I149" s="87">
        <v>9</v>
      </c>
      <c r="J149" s="87">
        <v>65</v>
      </c>
      <c r="K149" s="51"/>
    </row>
    <row r="150" spans="1:11" ht="15.6" x14ac:dyDescent="0.3">
      <c r="A150" s="84">
        <v>7653</v>
      </c>
      <c r="B150" s="17" t="s">
        <v>198</v>
      </c>
      <c r="C150" s="17" t="s">
        <v>2603</v>
      </c>
      <c r="D150" s="87">
        <v>14</v>
      </c>
      <c r="E150" s="87">
        <v>8</v>
      </c>
      <c r="F150" s="87">
        <v>20</v>
      </c>
      <c r="G150" s="87">
        <v>8</v>
      </c>
      <c r="H150" s="87">
        <v>8</v>
      </c>
      <c r="I150" s="87">
        <v>6</v>
      </c>
      <c r="J150" s="87">
        <v>64</v>
      </c>
      <c r="K150" s="51"/>
    </row>
    <row r="151" spans="1:11" ht="15.6" x14ac:dyDescent="0.3">
      <c r="A151" s="84">
        <v>4019</v>
      </c>
      <c r="B151" s="17" t="s">
        <v>1408</v>
      </c>
      <c r="C151" s="17" t="s">
        <v>2603</v>
      </c>
      <c r="D151" s="87">
        <v>13</v>
      </c>
      <c r="E151" s="87">
        <v>12</v>
      </c>
      <c r="F151" s="87">
        <v>7</v>
      </c>
      <c r="G151" s="87">
        <v>9</v>
      </c>
      <c r="H151" s="87">
        <v>8</v>
      </c>
      <c r="I151" s="87">
        <v>10</v>
      </c>
      <c r="J151" s="87">
        <v>59</v>
      </c>
      <c r="K151" s="51"/>
    </row>
    <row r="152" spans="1:11" ht="15.6" x14ac:dyDescent="0.3">
      <c r="A152" s="84">
        <v>5032</v>
      </c>
      <c r="B152" s="17" t="s">
        <v>1285</v>
      </c>
      <c r="C152" s="17" t="s">
        <v>2603</v>
      </c>
      <c r="D152" s="87">
        <v>13</v>
      </c>
      <c r="E152" s="87">
        <v>18</v>
      </c>
      <c r="F152" s="87">
        <v>13</v>
      </c>
      <c r="G152" s="87">
        <v>6</v>
      </c>
      <c r="H152" s="87">
        <v>10</v>
      </c>
      <c r="I152" s="87">
        <v>6</v>
      </c>
      <c r="J152" s="87">
        <v>66</v>
      </c>
      <c r="K152" s="68"/>
    </row>
    <row r="153" spans="1:11" s="68" customFormat="1" ht="15.6" x14ac:dyDescent="0.3">
      <c r="A153" s="84">
        <v>6004</v>
      </c>
      <c r="B153" s="17" t="s">
        <v>1459</v>
      </c>
      <c r="C153" s="17" t="s">
        <v>2603</v>
      </c>
      <c r="D153" s="87">
        <v>6</v>
      </c>
      <c r="E153" s="87">
        <v>8</v>
      </c>
      <c r="F153" s="87">
        <v>13</v>
      </c>
      <c r="G153" s="87">
        <v>17</v>
      </c>
      <c r="H153" s="87">
        <v>9</v>
      </c>
      <c r="I153" s="87">
        <v>7</v>
      </c>
      <c r="J153" s="87">
        <v>60</v>
      </c>
      <c r="K153" s="51"/>
    </row>
    <row r="154" spans="1:11" s="68" customFormat="1" ht="15.6" x14ac:dyDescent="0.3">
      <c r="A154" s="84">
        <v>8331</v>
      </c>
      <c r="B154" s="17" t="s">
        <v>194</v>
      </c>
      <c r="C154" s="17" t="s">
        <v>2608</v>
      </c>
      <c r="D154" s="87">
        <v>5</v>
      </c>
      <c r="E154" s="87">
        <v>5</v>
      </c>
      <c r="F154" s="87">
        <v>9</v>
      </c>
      <c r="G154" s="87">
        <v>15</v>
      </c>
      <c r="H154" s="87">
        <v>7</v>
      </c>
      <c r="I154" s="87">
        <v>9</v>
      </c>
      <c r="J154" s="87">
        <v>50</v>
      </c>
      <c r="K154" s="51"/>
    </row>
    <row r="155" spans="1:11" s="68" customFormat="1" ht="15.6" x14ac:dyDescent="0.3">
      <c r="A155" s="84">
        <v>8517</v>
      </c>
      <c r="B155" s="17" t="s">
        <v>2604</v>
      </c>
      <c r="C155" s="17" t="s">
        <v>2608</v>
      </c>
      <c r="D155" s="87">
        <v>14</v>
      </c>
      <c r="E155" s="87">
        <v>9</v>
      </c>
      <c r="F155" s="87">
        <v>10</v>
      </c>
      <c r="G155" s="87">
        <v>13</v>
      </c>
      <c r="H155" s="87">
        <v>8</v>
      </c>
      <c r="I155" s="87">
        <v>10</v>
      </c>
      <c r="J155" s="87">
        <v>64</v>
      </c>
    </row>
    <row r="156" spans="1:11" s="68" customFormat="1" ht="15.6" x14ac:dyDescent="0.3">
      <c r="A156" s="84">
        <v>5187</v>
      </c>
      <c r="B156" s="17" t="s">
        <v>203</v>
      </c>
      <c r="C156" s="17" t="s">
        <v>2608</v>
      </c>
      <c r="D156" s="87">
        <v>19</v>
      </c>
      <c r="E156" s="87">
        <v>8</v>
      </c>
      <c r="F156" s="87">
        <v>13</v>
      </c>
      <c r="G156" s="87">
        <v>17</v>
      </c>
      <c r="H156" s="87">
        <v>7</v>
      </c>
      <c r="I156" s="87">
        <v>7</v>
      </c>
      <c r="J156" s="87">
        <v>71</v>
      </c>
      <c r="K156" s="51"/>
    </row>
    <row r="157" spans="1:11" s="68" customFormat="1" ht="15.6" x14ac:dyDescent="0.3">
      <c r="A157" s="84">
        <v>8628</v>
      </c>
      <c r="B157" s="17" t="s">
        <v>1334</v>
      </c>
      <c r="C157" s="17" t="s">
        <v>2608</v>
      </c>
      <c r="D157" s="87">
        <v>11</v>
      </c>
      <c r="E157" s="87">
        <v>12</v>
      </c>
      <c r="F157" s="87">
        <v>6</v>
      </c>
      <c r="G157" s="87">
        <v>20</v>
      </c>
      <c r="H157" s="87">
        <v>5</v>
      </c>
      <c r="I157" s="87">
        <v>5</v>
      </c>
      <c r="J157" s="87">
        <v>59</v>
      </c>
      <c r="K157" s="51"/>
    </row>
    <row r="158" spans="1:11" s="68" customFormat="1" ht="15.6" x14ac:dyDescent="0.3">
      <c r="A158" s="84">
        <v>6697</v>
      </c>
      <c r="B158" s="17" t="s">
        <v>813</v>
      </c>
      <c r="C158" s="17" t="s">
        <v>2608</v>
      </c>
      <c r="D158" s="87">
        <v>12</v>
      </c>
      <c r="E158" s="87">
        <v>19</v>
      </c>
      <c r="F158" s="87">
        <v>13</v>
      </c>
      <c r="G158" s="87">
        <v>8</v>
      </c>
      <c r="H158" s="87">
        <v>7</v>
      </c>
      <c r="I158" s="87">
        <v>5</v>
      </c>
      <c r="J158" s="87">
        <v>64</v>
      </c>
      <c r="K158" s="51"/>
    </row>
    <row r="159" spans="1:11" s="68" customFormat="1" ht="15.6" x14ac:dyDescent="0.3">
      <c r="A159" s="84">
        <v>6113</v>
      </c>
      <c r="B159" s="17" t="s">
        <v>2605</v>
      </c>
      <c r="C159" s="17" t="s">
        <v>2608</v>
      </c>
      <c r="D159" s="87">
        <v>9</v>
      </c>
      <c r="E159" s="87">
        <v>11</v>
      </c>
      <c r="F159" s="87">
        <v>11</v>
      </c>
      <c r="G159" s="87">
        <v>9</v>
      </c>
      <c r="H159" s="87">
        <v>7</v>
      </c>
      <c r="I159" s="87">
        <v>10</v>
      </c>
      <c r="J159" s="87">
        <v>57</v>
      </c>
    </row>
    <row r="160" spans="1:11" s="68" customFormat="1" ht="15.6" x14ac:dyDescent="0.3">
      <c r="A160" s="84">
        <v>7379</v>
      </c>
      <c r="B160" s="17" t="s">
        <v>385</v>
      </c>
      <c r="C160" s="17" t="s">
        <v>2608</v>
      </c>
      <c r="D160" s="87">
        <v>20</v>
      </c>
      <c r="E160" s="87">
        <v>15</v>
      </c>
      <c r="F160" s="87">
        <v>8</v>
      </c>
      <c r="G160" s="87">
        <v>18</v>
      </c>
      <c r="H160" s="87">
        <v>6</v>
      </c>
      <c r="I160" s="87">
        <v>9</v>
      </c>
      <c r="J160" s="87">
        <v>76</v>
      </c>
      <c r="K160" s="51"/>
    </row>
    <row r="161" spans="1:11" s="68" customFormat="1" ht="15.6" x14ac:dyDescent="0.3">
      <c r="A161" s="84">
        <v>3978</v>
      </c>
      <c r="B161" s="17" t="s">
        <v>226</v>
      </c>
      <c r="C161" s="17" t="s">
        <v>2608</v>
      </c>
      <c r="D161" s="87">
        <v>5</v>
      </c>
      <c r="E161" s="87">
        <v>20</v>
      </c>
      <c r="F161" s="87">
        <v>13</v>
      </c>
      <c r="G161" s="87">
        <v>9</v>
      </c>
      <c r="H161" s="87">
        <v>5</v>
      </c>
      <c r="I161" s="87">
        <v>10</v>
      </c>
      <c r="J161" s="87">
        <v>62</v>
      </c>
      <c r="K161" s="51"/>
    </row>
    <row r="162" spans="1:11" s="68" customFormat="1" ht="15.6" x14ac:dyDescent="0.3">
      <c r="A162" s="84">
        <v>8344</v>
      </c>
      <c r="B162" s="17" t="s">
        <v>2607</v>
      </c>
      <c r="C162" s="17" t="s">
        <v>2608</v>
      </c>
      <c r="D162" s="87">
        <v>17</v>
      </c>
      <c r="E162" s="87">
        <v>13</v>
      </c>
      <c r="F162" s="87">
        <v>15</v>
      </c>
      <c r="G162" s="87">
        <v>19</v>
      </c>
      <c r="H162" s="87">
        <v>8</v>
      </c>
      <c r="I162" s="87">
        <v>10</v>
      </c>
      <c r="J162" s="87">
        <v>82</v>
      </c>
    </row>
    <row r="163" spans="1:11" s="68" customFormat="1" ht="15.6" x14ac:dyDescent="0.3">
      <c r="A163" s="84">
        <v>6087</v>
      </c>
      <c r="B163" s="17" t="s">
        <v>390</v>
      </c>
      <c r="C163" s="17" t="s">
        <v>2608</v>
      </c>
      <c r="D163" s="87">
        <v>15</v>
      </c>
      <c r="E163" s="87">
        <v>9</v>
      </c>
      <c r="F163" s="87">
        <v>5</v>
      </c>
      <c r="G163" s="87">
        <v>18</v>
      </c>
      <c r="H163" s="87">
        <v>9</v>
      </c>
      <c r="I163" s="87">
        <v>10</v>
      </c>
      <c r="J163" s="87">
        <v>66</v>
      </c>
    </row>
    <row r="164" spans="1:11" s="68" customFormat="1" ht="15.6" x14ac:dyDescent="0.3">
      <c r="A164" s="84">
        <v>6575</v>
      </c>
      <c r="B164" s="17" t="s">
        <v>238</v>
      </c>
      <c r="C164" s="17" t="s">
        <v>2608</v>
      </c>
      <c r="D164" s="87">
        <v>7</v>
      </c>
      <c r="E164" s="87">
        <v>10</v>
      </c>
      <c r="F164" s="87">
        <v>8</v>
      </c>
      <c r="G164" s="87">
        <v>12</v>
      </c>
      <c r="H164" s="87">
        <v>8</v>
      </c>
      <c r="I164" s="87">
        <v>8</v>
      </c>
      <c r="J164" s="87">
        <v>53</v>
      </c>
      <c r="K164" s="51"/>
    </row>
    <row r="165" spans="1:11" s="68" customFormat="1" ht="15.6" x14ac:dyDescent="0.3">
      <c r="A165" s="84">
        <v>3632</v>
      </c>
      <c r="B165" s="17" t="s">
        <v>1307</v>
      </c>
      <c r="C165" s="17" t="s">
        <v>2608</v>
      </c>
      <c r="D165" s="87">
        <v>16</v>
      </c>
      <c r="E165" s="87">
        <v>9</v>
      </c>
      <c r="F165" s="87">
        <v>16</v>
      </c>
      <c r="G165" s="87">
        <v>5</v>
      </c>
      <c r="H165" s="87">
        <v>6</v>
      </c>
      <c r="I165" s="87">
        <v>9</v>
      </c>
      <c r="J165" s="87">
        <v>61</v>
      </c>
      <c r="K165" s="51"/>
    </row>
    <row r="166" spans="1:11" s="68" customFormat="1" ht="15.6" x14ac:dyDescent="0.3">
      <c r="A166" s="84">
        <v>4457</v>
      </c>
      <c r="B166" s="17" t="s">
        <v>2606</v>
      </c>
      <c r="C166" s="17" t="s">
        <v>2608</v>
      </c>
      <c r="D166" s="87">
        <v>7</v>
      </c>
      <c r="E166" s="87">
        <v>12</v>
      </c>
      <c r="F166" s="87">
        <v>13</v>
      </c>
      <c r="G166" s="87">
        <v>20</v>
      </c>
      <c r="H166" s="87">
        <v>5</v>
      </c>
      <c r="I166" s="87">
        <v>9</v>
      </c>
      <c r="J166" s="87">
        <v>66</v>
      </c>
      <c r="K166" s="51"/>
    </row>
    <row r="167" spans="1:11" s="68" customFormat="1" ht="15.6" x14ac:dyDescent="0.3">
      <c r="A167" s="84">
        <v>7091</v>
      </c>
      <c r="B167" s="17" t="s">
        <v>801</v>
      </c>
      <c r="C167" s="17" t="s">
        <v>2614</v>
      </c>
      <c r="D167" s="87">
        <v>13</v>
      </c>
      <c r="E167" s="87">
        <v>9</v>
      </c>
      <c r="F167" s="87">
        <v>19</v>
      </c>
      <c r="G167" s="87">
        <v>6</v>
      </c>
      <c r="H167" s="87">
        <v>6</v>
      </c>
      <c r="I167" s="87">
        <v>9</v>
      </c>
      <c r="J167" s="87">
        <v>62</v>
      </c>
      <c r="K167" s="51"/>
    </row>
    <row r="168" spans="1:11" s="68" customFormat="1" ht="15.6" x14ac:dyDescent="0.3">
      <c r="A168" s="84">
        <v>8039</v>
      </c>
      <c r="B168" s="17" t="s">
        <v>823</v>
      </c>
      <c r="C168" s="17" t="s">
        <v>2614</v>
      </c>
      <c r="D168" s="87">
        <v>19</v>
      </c>
      <c r="E168" s="87">
        <v>10</v>
      </c>
      <c r="F168" s="87">
        <v>7</v>
      </c>
      <c r="G168" s="87">
        <v>17</v>
      </c>
      <c r="H168" s="87">
        <v>7</v>
      </c>
      <c r="I168" s="87">
        <v>6</v>
      </c>
      <c r="J168" s="87">
        <v>66</v>
      </c>
      <c r="K168" s="51"/>
    </row>
    <row r="169" spans="1:11" s="68" customFormat="1" ht="15.6" x14ac:dyDescent="0.3">
      <c r="A169" s="84">
        <v>5896</v>
      </c>
      <c r="B169" s="17" t="s">
        <v>2609</v>
      </c>
      <c r="C169" s="17" t="s">
        <v>2614</v>
      </c>
      <c r="D169" s="87">
        <v>8</v>
      </c>
      <c r="E169" s="87">
        <v>6</v>
      </c>
      <c r="F169" s="87">
        <v>6</v>
      </c>
      <c r="G169" s="87">
        <v>19</v>
      </c>
      <c r="H169" s="87">
        <v>5</v>
      </c>
      <c r="I169" s="87">
        <v>7</v>
      </c>
      <c r="J169" s="87">
        <v>51</v>
      </c>
    </row>
    <row r="170" spans="1:11" s="68" customFormat="1" ht="15.6" x14ac:dyDescent="0.3">
      <c r="A170" s="84">
        <v>3221</v>
      </c>
      <c r="B170" s="17" t="s">
        <v>2610</v>
      </c>
      <c r="C170" s="17" t="s">
        <v>2614</v>
      </c>
      <c r="D170" s="87">
        <v>5</v>
      </c>
      <c r="E170" s="87">
        <v>16</v>
      </c>
      <c r="F170" s="87">
        <v>7</v>
      </c>
      <c r="G170" s="87">
        <v>16</v>
      </c>
      <c r="H170" s="87">
        <v>7</v>
      </c>
      <c r="I170" s="87">
        <v>9</v>
      </c>
      <c r="J170" s="87">
        <v>60</v>
      </c>
      <c r="K170" s="51"/>
    </row>
    <row r="171" spans="1:11" s="68" customFormat="1" ht="15.6" x14ac:dyDescent="0.3">
      <c r="A171" s="84">
        <v>3666</v>
      </c>
      <c r="B171" s="17" t="s">
        <v>2612</v>
      </c>
      <c r="C171" s="17" t="s">
        <v>2614</v>
      </c>
      <c r="D171" s="87">
        <v>15</v>
      </c>
      <c r="E171" s="87">
        <v>9</v>
      </c>
      <c r="F171" s="87">
        <v>6</v>
      </c>
      <c r="G171" s="87">
        <v>17</v>
      </c>
      <c r="H171" s="87">
        <v>10</v>
      </c>
      <c r="I171" s="87">
        <v>7</v>
      </c>
      <c r="J171" s="87">
        <v>64</v>
      </c>
    </row>
    <row r="172" spans="1:11" s="68" customFormat="1" ht="15.6" x14ac:dyDescent="0.3">
      <c r="A172" s="84">
        <v>3808</v>
      </c>
      <c r="B172" s="17" t="s">
        <v>2613</v>
      </c>
      <c r="C172" s="17" t="s">
        <v>2614</v>
      </c>
      <c r="D172" s="87">
        <v>7</v>
      </c>
      <c r="E172" s="87">
        <v>16</v>
      </c>
      <c r="F172" s="87">
        <v>19</v>
      </c>
      <c r="G172" s="87">
        <v>12</v>
      </c>
      <c r="H172" s="87">
        <v>10</v>
      </c>
      <c r="I172" s="87">
        <v>6</v>
      </c>
      <c r="J172" s="87">
        <v>70</v>
      </c>
    </row>
    <row r="173" spans="1:11" s="68" customFormat="1" ht="15.6" x14ac:dyDescent="0.3">
      <c r="A173" s="84">
        <v>8376</v>
      </c>
      <c r="B173" s="17" t="s">
        <v>817</v>
      </c>
      <c r="C173" s="17" t="s">
        <v>2614</v>
      </c>
      <c r="D173" s="87">
        <v>11</v>
      </c>
      <c r="E173" s="87">
        <v>6</v>
      </c>
      <c r="F173" s="87">
        <v>11</v>
      </c>
      <c r="G173" s="87">
        <v>14</v>
      </c>
      <c r="H173" s="87">
        <v>9</v>
      </c>
      <c r="I173" s="87">
        <v>5</v>
      </c>
      <c r="J173" s="87">
        <v>56</v>
      </c>
      <c r="K173" s="51"/>
    </row>
    <row r="174" spans="1:11" s="68" customFormat="1" ht="15.6" x14ac:dyDescent="0.3">
      <c r="A174" s="84">
        <v>7350</v>
      </c>
      <c r="B174" s="17" t="s">
        <v>777</v>
      </c>
      <c r="C174" s="17" t="s">
        <v>2614</v>
      </c>
      <c r="D174" s="87">
        <v>20</v>
      </c>
      <c r="E174" s="87">
        <v>14</v>
      </c>
      <c r="F174" s="87">
        <v>19</v>
      </c>
      <c r="G174" s="87">
        <v>7</v>
      </c>
      <c r="H174" s="87">
        <v>7</v>
      </c>
      <c r="I174" s="87">
        <v>7</v>
      </c>
      <c r="J174" s="87">
        <v>74</v>
      </c>
      <c r="K174" s="51"/>
    </row>
    <row r="175" spans="1:11" s="68" customFormat="1" ht="15.6" x14ac:dyDescent="0.3">
      <c r="A175" s="84">
        <v>6338</v>
      </c>
      <c r="B175" s="17" t="s">
        <v>181</v>
      </c>
      <c r="C175" s="17" t="s">
        <v>2614</v>
      </c>
      <c r="D175" s="87">
        <v>20</v>
      </c>
      <c r="E175" s="87">
        <v>5</v>
      </c>
      <c r="F175" s="87">
        <v>13</v>
      </c>
      <c r="G175" s="87">
        <v>9</v>
      </c>
      <c r="H175" s="87">
        <v>10</v>
      </c>
      <c r="I175" s="87">
        <v>8</v>
      </c>
      <c r="J175" s="87">
        <v>65</v>
      </c>
      <c r="K175" s="51"/>
    </row>
    <row r="176" spans="1:11" s="68" customFormat="1" ht="15.6" x14ac:dyDescent="0.3">
      <c r="A176" s="84">
        <v>7739</v>
      </c>
      <c r="B176" s="17" t="s">
        <v>412</v>
      </c>
      <c r="C176" s="17" t="s">
        <v>2614</v>
      </c>
      <c r="D176" s="87">
        <v>7</v>
      </c>
      <c r="E176" s="87">
        <v>10</v>
      </c>
      <c r="F176" s="87">
        <v>11</v>
      </c>
      <c r="G176" s="87">
        <v>6</v>
      </c>
      <c r="H176" s="87">
        <v>6</v>
      </c>
      <c r="I176" s="87">
        <v>10</v>
      </c>
      <c r="J176" s="87">
        <v>50</v>
      </c>
      <c r="K176" s="51"/>
    </row>
    <row r="177" spans="1:11" s="68" customFormat="1" ht="15.6" x14ac:dyDescent="0.3">
      <c r="A177" s="84">
        <v>3964</v>
      </c>
      <c r="B177" s="17" t="s">
        <v>764</v>
      </c>
      <c r="C177" s="17" t="s">
        <v>2614</v>
      </c>
      <c r="D177" s="87">
        <v>7</v>
      </c>
      <c r="E177" s="87">
        <v>16</v>
      </c>
      <c r="F177" s="87">
        <v>18</v>
      </c>
      <c r="G177" s="87">
        <v>12</v>
      </c>
      <c r="H177" s="87">
        <v>8</v>
      </c>
      <c r="I177" s="87">
        <v>5</v>
      </c>
      <c r="J177" s="87">
        <v>66</v>
      </c>
      <c r="K177" s="51"/>
    </row>
    <row r="178" spans="1:11" s="68" customFormat="1" ht="15.6" x14ac:dyDescent="0.3">
      <c r="A178" s="84">
        <v>6128</v>
      </c>
      <c r="B178" s="17" t="s">
        <v>2611</v>
      </c>
      <c r="C178" s="17" t="s">
        <v>2614</v>
      </c>
      <c r="D178" s="87">
        <v>17</v>
      </c>
      <c r="E178" s="87">
        <v>19</v>
      </c>
      <c r="F178" s="87">
        <v>15</v>
      </c>
      <c r="G178" s="87">
        <v>13</v>
      </c>
      <c r="H178" s="87">
        <v>10</v>
      </c>
      <c r="I178" s="87">
        <v>10</v>
      </c>
      <c r="J178" s="87">
        <v>84</v>
      </c>
      <c r="K178" s="51"/>
    </row>
    <row r="179" spans="1:11" s="68" customFormat="1" ht="15.6" x14ac:dyDescent="0.3">
      <c r="A179" s="84">
        <v>6452</v>
      </c>
      <c r="B179" s="17" t="s">
        <v>1305</v>
      </c>
      <c r="C179" s="17" t="s">
        <v>2614</v>
      </c>
      <c r="D179" s="87">
        <v>18</v>
      </c>
      <c r="E179" s="87">
        <v>18</v>
      </c>
      <c r="F179" s="87">
        <v>7</v>
      </c>
      <c r="G179" s="87">
        <v>9</v>
      </c>
      <c r="H179" s="87">
        <v>7</v>
      </c>
      <c r="I179" s="87">
        <v>5</v>
      </c>
      <c r="J179" s="87">
        <v>64</v>
      </c>
      <c r="K179" s="51"/>
    </row>
    <row r="180" spans="1:11" s="68" customFormat="1" ht="15.6" x14ac:dyDescent="0.3">
      <c r="A180" s="84">
        <v>5101</v>
      </c>
      <c r="B180" s="17" t="s">
        <v>358</v>
      </c>
      <c r="C180" s="17" t="s">
        <v>2614</v>
      </c>
      <c r="D180" s="87">
        <v>6</v>
      </c>
      <c r="E180" s="87">
        <v>16</v>
      </c>
      <c r="F180" s="87">
        <v>10</v>
      </c>
      <c r="G180" s="87">
        <v>9</v>
      </c>
      <c r="H180" s="87">
        <v>9</v>
      </c>
      <c r="I180" s="87">
        <v>6</v>
      </c>
      <c r="J180" s="87">
        <v>56</v>
      </c>
      <c r="K180" s="51"/>
    </row>
    <row r="181" spans="1:11" s="68" customFormat="1" ht="15.6" x14ac:dyDescent="0.3">
      <c r="A181" s="84">
        <v>4967</v>
      </c>
      <c r="B181" s="17" t="s">
        <v>345</v>
      </c>
      <c r="C181" s="17" t="s">
        <v>2614</v>
      </c>
      <c r="D181" s="87">
        <v>10</v>
      </c>
      <c r="E181" s="87">
        <v>11</v>
      </c>
      <c r="F181" s="87">
        <v>19</v>
      </c>
      <c r="G181" s="87">
        <v>15</v>
      </c>
      <c r="H181" s="87">
        <v>9</v>
      </c>
      <c r="I181" s="87">
        <v>6</v>
      </c>
      <c r="J181" s="87">
        <v>70</v>
      </c>
      <c r="K181" s="51"/>
    </row>
    <row r="182" spans="1:11" s="68" customFormat="1" ht="15.6" x14ac:dyDescent="0.3">
      <c r="A182" s="84">
        <v>8001</v>
      </c>
      <c r="B182" s="17" t="s">
        <v>1440</v>
      </c>
      <c r="C182" s="17" t="s">
        <v>2614</v>
      </c>
      <c r="D182" s="87">
        <v>12</v>
      </c>
      <c r="E182" s="87">
        <v>19</v>
      </c>
      <c r="F182" s="87">
        <v>6</v>
      </c>
      <c r="G182" s="87">
        <v>7</v>
      </c>
      <c r="H182" s="87">
        <v>6</v>
      </c>
      <c r="I182" s="87">
        <v>5</v>
      </c>
      <c r="J182" s="87">
        <v>55</v>
      </c>
      <c r="K182" s="51"/>
    </row>
    <row r="183" spans="1:11" s="68" customFormat="1" ht="15.6" x14ac:dyDescent="0.3">
      <c r="A183" s="84">
        <v>7324</v>
      </c>
      <c r="B183" s="17" t="s">
        <v>188</v>
      </c>
      <c r="C183" s="17" t="s">
        <v>2614</v>
      </c>
      <c r="D183" s="87">
        <v>20</v>
      </c>
      <c r="E183" s="87">
        <v>16</v>
      </c>
      <c r="F183" s="87">
        <v>7</v>
      </c>
      <c r="G183" s="87">
        <v>18</v>
      </c>
      <c r="H183" s="87">
        <v>6</v>
      </c>
      <c r="I183" s="87">
        <v>9</v>
      </c>
      <c r="J183" s="87">
        <v>76</v>
      </c>
      <c r="K183" s="51"/>
    </row>
    <row r="184" spans="1:11" s="68" customFormat="1" ht="15.6" x14ac:dyDescent="0.3">
      <c r="A184" s="84">
        <v>5829</v>
      </c>
      <c r="B184" s="17" t="s">
        <v>1317</v>
      </c>
      <c r="C184" s="17" t="s">
        <v>2614</v>
      </c>
      <c r="D184" s="87">
        <v>5</v>
      </c>
      <c r="E184" s="87">
        <v>20</v>
      </c>
      <c r="F184" s="87">
        <v>14</v>
      </c>
      <c r="G184" s="87">
        <v>6</v>
      </c>
      <c r="H184" s="87">
        <v>6</v>
      </c>
      <c r="I184" s="87">
        <v>6</v>
      </c>
      <c r="J184" s="87">
        <v>57</v>
      </c>
      <c r="K184" s="51"/>
    </row>
    <row r="185" spans="1:11" s="68" customFormat="1" ht="15.6" x14ac:dyDescent="0.3">
      <c r="A185" s="84">
        <v>4241</v>
      </c>
      <c r="B185" s="17" t="s">
        <v>2617</v>
      </c>
      <c r="C185" s="17" t="s">
        <v>2618</v>
      </c>
      <c r="D185" s="87">
        <v>5</v>
      </c>
      <c r="E185" s="87">
        <v>9</v>
      </c>
      <c r="F185" s="87">
        <v>5</v>
      </c>
      <c r="G185" s="87">
        <v>8</v>
      </c>
      <c r="H185" s="87">
        <v>5</v>
      </c>
      <c r="I185" s="87">
        <v>9</v>
      </c>
      <c r="J185" s="87">
        <v>41</v>
      </c>
    </row>
    <row r="186" spans="1:11" s="68" customFormat="1" ht="15.6" x14ac:dyDescent="0.3">
      <c r="A186" s="84">
        <v>6345</v>
      </c>
      <c r="B186" s="17" t="s">
        <v>2616</v>
      </c>
      <c r="C186" s="17" t="s">
        <v>2618</v>
      </c>
      <c r="D186" s="87">
        <v>9</v>
      </c>
      <c r="E186" s="87">
        <v>16</v>
      </c>
      <c r="F186" s="87">
        <v>20</v>
      </c>
      <c r="G186" s="87">
        <v>9</v>
      </c>
      <c r="H186" s="87">
        <v>5</v>
      </c>
      <c r="I186" s="87">
        <v>7</v>
      </c>
      <c r="J186" s="87">
        <v>66</v>
      </c>
      <c r="K186" s="51"/>
    </row>
    <row r="187" spans="1:11" s="68" customFormat="1" ht="15.6" x14ac:dyDescent="0.3">
      <c r="A187" s="84">
        <v>8819</v>
      </c>
      <c r="B187" s="17" t="s">
        <v>766</v>
      </c>
      <c r="C187" s="17" t="s">
        <v>2618</v>
      </c>
      <c r="D187" s="87">
        <v>14</v>
      </c>
      <c r="E187" s="87">
        <v>8</v>
      </c>
      <c r="F187" s="87">
        <v>6</v>
      </c>
      <c r="G187" s="87">
        <v>14</v>
      </c>
      <c r="H187" s="87">
        <v>7</v>
      </c>
      <c r="I187" s="87">
        <v>5</v>
      </c>
      <c r="J187" s="87">
        <v>54</v>
      </c>
      <c r="K187" s="51"/>
    </row>
    <row r="188" spans="1:11" s="68" customFormat="1" ht="15.6" x14ac:dyDescent="0.3">
      <c r="A188" s="84">
        <v>6233</v>
      </c>
      <c r="B188" s="17" t="s">
        <v>215</v>
      </c>
      <c r="C188" s="17" t="s">
        <v>2618</v>
      </c>
      <c r="D188" s="87">
        <v>11</v>
      </c>
      <c r="E188" s="87">
        <v>19</v>
      </c>
      <c r="F188" s="87">
        <v>11</v>
      </c>
      <c r="G188" s="87">
        <v>15</v>
      </c>
      <c r="H188" s="87">
        <v>7</v>
      </c>
      <c r="I188" s="87">
        <v>7</v>
      </c>
      <c r="J188" s="87">
        <v>70</v>
      </c>
      <c r="K188" s="51"/>
    </row>
    <row r="189" spans="1:11" s="68" customFormat="1" ht="15.6" x14ac:dyDescent="0.3">
      <c r="A189" s="84">
        <v>5327</v>
      </c>
      <c r="B189" s="17" t="s">
        <v>218</v>
      </c>
      <c r="C189" s="17" t="s">
        <v>2618</v>
      </c>
      <c r="D189" s="87">
        <v>8</v>
      </c>
      <c r="E189" s="87">
        <v>9</v>
      </c>
      <c r="F189" s="87">
        <v>6</v>
      </c>
      <c r="G189" s="87">
        <v>18</v>
      </c>
      <c r="H189" s="87">
        <v>8</v>
      </c>
      <c r="I189" s="87">
        <v>8</v>
      </c>
      <c r="J189" s="87">
        <v>57</v>
      </c>
    </row>
    <row r="190" spans="1:11" s="68" customFormat="1" ht="15.6" x14ac:dyDescent="0.3">
      <c r="A190" s="84">
        <v>6462</v>
      </c>
      <c r="B190" s="17" t="s">
        <v>1503</v>
      </c>
      <c r="C190" s="17" t="s">
        <v>2618</v>
      </c>
      <c r="D190" s="87">
        <v>18</v>
      </c>
      <c r="E190" s="87">
        <v>20</v>
      </c>
      <c r="F190" s="87">
        <v>5</v>
      </c>
      <c r="G190" s="87">
        <v>9</v>
      </c>
      <c r="H190" s="87">
        <v>7</v>
      </c>
      <c r="I190" s="87">
        <v>5</v>
      </c>
      <c r="J190" s="87">
        <v>64</v>
      </c>
      <c r="K190" s="51"/>
    </row>
    <row r="191" spans="1:11" s="68" customFormat="1" ht="15.6" x14ac:dyDescent="0.3">
      <c r="A191" s="84">
        <v>4847</v>
      </c>
      <c r="B191" s="17" t="s">
        <v>408</v>
      </c>
      <c r="C191" s="17" t="s">
        <v>2618</v>
      </c>
      <c r="D191" s="87">
        <v>18</v>
      </c>
      <c r="E191" s="87">
        <v>8</v>
      </c>
      <c r="F191" s="87">
        <v>13</v>
      </c>
      <c r="G191" s="87">
        <v>8</v>
      </c>
      <c r="H191" s="87">
        <v>8</v>
      </c>
      <c r="I191" s="87">
        <v>6</v>
      </c>
      <c r="J191" s="87">
        <v>61</v>
      </c>
      <c r="K191" s="51"/>
    </row>
    <row r="192" spans="1:11" s="68" customFormat="1" ht="15.6" x14ac:dyDescent="0.3">
      <c r="A192" s="84">
        <v>3908</v>
      </c>
      <c r="B192" s="17" t="s">
        <v>186</v>
      </c>
      <c r="C192" s="17" t="s">
        <v>2618</v>
      </c>
      <c r="D192" s="87">
        <v>9</v>
      </c>
      <c r="E192" s="87">
        <v>7</v>
      </c>
      <c r="F192" s="87">
        <v>17</v>
      </c>
      <c r="G192" s="87">
        <v>12</v>
      </c>
      <c r="H192" s="87">
        <v>9</v>
      </c>
      <c r="I192" s="87">
        <v>10</v>
      </c>
      <c r="J192" s="87">
        <v>64</v>
      </c>
      <c r="K192" s="51"/>
    </row>
    <row r="193" spans="1:11" s="68" customFormat="1" ht="15.6" x14ac:dyDescent="0.3">
      <c r="A193" s="84">
        <v>6696</v>
      </c>
      <c r="B193" s="17" t="s">
        <v>803</v>
      </c>
      <c r="C193" s="17" t="s">
        <v>2618</v>
      </c>
      <c r="D193" s="87">
        <v>7</v>
      </c>
      <c r="E193" s="87">
        <v>11</v>
      </c>
      <c r="F193" s="87">
        <v>16</v>
      </c>
      <c r="G193" s="87">
        <v>15</v>
      </c>
      <c r="H193" s="87">
        <v>8</v>
      </c>
      <c r="I193" s="87">
        <v>9</v>
      </c>
      <c r="J193" s="87">
        <v>66</v>
      </c>
      <c r="K193" s="51"/>
    </row>
    <row r="194" spans="1:11" s="68" customFormat="1" ht="15.6" x14ac:dyDescent="0.3">
      <c r="A194" s="84">
        <v>6289</v>
      </c>
      <c r="B194" s="17" t="s">
        <v>1349</v>
      </c>
      <c r="C194" s="17" t="s">
        <v>2618</v>
      </c>
      <c r="D194" s="87">
        <v>5</v>
      </c>
      <c r="E194" s="87">
        <v>20</v>
      </c>
      <c r="F194" s="87">
        <v>10</v>
      </c>
      <c r="G194" s="87">
        <v>16</v>
      </c>
      <c r="H194" s="87">
        <v>8</v>
      </c>
      <c r="I194" s="87">
        <v>7</v>
      </c>
      <c r="J194" s="87">
        <v>66</v>
      </c>
      <c r="K194" s="51"/>
    </row>
    <row r="195" spans="1:11" s="68" customFormat="1" ht="15.6" x14ac:dyDescent="0.3">
      <c r="A195" s="84">
        <v>8494</v>
      </c>
      <c r="B195" s="17" t="s">
        <v>2615</v>
      </c>
      <c r="C195" s="17" t="s">
        <v>2618</v>
      </c>
      <c r="D195" s="87">
        <v>19</v>
      </c>
      <c r="E195" s="87">
        <v>10</v>
      </c>
      <c r="F195" s="87">
        <v>8</v>
      </c>
      <c r="G195" s="87">
        <v>7</v>
      </c>
      <c r="H195" s="87">
        <v>8</v>
      </c>
      <c r="I195" s="87">
        <v>9</v>
      </c>
      <c r="J195" s="87">
        <v>61</v>
      </c>
      <c r="K195" s="51"/>
    </row>
    <row r="196" spans="1:11" s="68" customFormat="1" ht="15.6" x14ac:dyDescent="0.3">
      <c r="A196" s="84">
        <v>3296</v>
      </c>
      <c r="B196" s="17" t="s">
        <v>222</v>
      </c>
      <c r="C196" s="17" t="s">
        <v>2618</v>
      </c>
      <c r="D196" s="87">
        <v>20</v>
      </c>
      <c r="E196" s="87">
        <v>16</v>
      </c>
      <c r="F196" s="87">
        <v>11</v>
      </c>
      <c r="G196" s="87">
        <v>12</v>
      </c>
      <c r="H196" s="87">
        <v>9</v>
      </c>
      <c r="I196" s="87">
        <v>5</v>
      </c>
      <c r="J196" s="87">
        <v>73</v>
      </c>
      <c r="K196" s="51"/>
    </row>
    <row r="197" spans="1:11" s="68" customFormat="1" ht="15.6" x14ac:dyDescent="0.3">
      <c r="A197" s="84">
        <v>7792</v>
      </c>
      <c r="B197" s="17" t="s">
        <v>185</v>
      </c>
      <c r="C197" s="17" t="s">
        <v>2618</v>
      </c>
      <c r="D197" s="87">
        <v>19</v>
      </c>
      <c r="E197" s="87">
        <v>18</v>
      </c>
      <c r="F197" s="87">
        <v>6</v>
      </c>
      <c r="G197" s="87">
        <v>16</v>
      </c>
      <c r="H197" s="87">
        <v>8</v>
      </c>
      <c r="I197" s="87">
        <v>5</v>
      </c>
      <c r="J197" s="87">
        <v>72</v>
      </c>
      <c r="K197" s="51"/>
    </row>
    <row r="198" spans="1:11" s="68" customFormat="1" ht="15.6" x14ac:dyDescent="0.3">
      <c r="A198" s="84">
        <v>3326</v>
      </c>
      <c r="B198" s="17" t="s">
        <v>665</v>
      </c>
      <c r="C198" s="17" t="s">
        <v>2618</v>
      </c>
      <c r="D198" s="87">
        <v>6</v>
      </c>
      <c r="E198" s="87">
        <v>9</v>
      </c>
      <c r="F198" s="87">
        <v>20</v>
      </c>
      <c r="G198" s="87">
        <v>7</v>
      </c>
      <c r="H198" s="87">
        <v>6</v>
      </c>
      <c r="I198" s="87">
        <v>9</v>
      </c>
      <c r="J198" s="87">
        <v>57</v>
      </c>
      <c r="K198" s="51"/>
    </row>
    <row r="199" spans="1:11" s="68" customFormat="1" ht="15.6" x14ac:dyDescent="0.3">
      <c r="A199" s="84">
        <v>6112</v>
      </c>
      <c r="B199" s="17" t="s">
        <v>374</v>
      </c>
      <c r="C199" s="17" t="s">
        <v>2618</v>
      </c>
      <c r="D199" s="87">
        <v>16</v>
      </c>
      <c r="E199" s="87">
        <v>6</v>
      </c>
      <c r="F199" s="87">
        <v>12</v>
      </c>
      <c r="G199" s="87">
        <v>18</v>
      </c>
      <c r="H199" s="87">
        <v>8</v>
      </c>
      <c r="I199" s="87">
        <v>7</v>
      </c>
      <c r="J199" s="87">
        <v>67</v>
      </c>
      <c r="K199" s="51"/>
    </row>
    <row r="200" spans="1:11" s="68" customFormat="1" ht="15.6" x14ac:dyDescent="0.3">
      <c r="A200" s="84">
        <v>6493</v>
      </c>
      <c r="B200" s="17" t="s">
        <v>221</v>
      </c>
      <c r="C200" s="17" t="s">
        <v>2624</v>
      </c>
      <c r="D200" s="87">
        <v>12</v>
      </c>
      <c r="E200" s="87">
        <v>6</v>
      </c>
      <c r="F200" s="87">
        <v>12</v>
      </c>
      <c r="G200" s="87">
        <v>19</v>
      </c>
      <c r="H200" s="87">
        <v>9</v>
      </c>
      <c r="I200" s="87">
        <v>5</v>
      </c>
      <c r="J200" s="87">
        <v>63</v>
      </c>
    </row>
    <row r="201" spans="1:11" s="68" customFormat="1" ht="15.6" x14ac:dyDescent="0.3">
      <c r="A201" s="84">
        <v>6920</v>
      </c>
      <c r="B201" s="17" t="s">
        <v>208</v>
      </c>
      <c r="C201" s="17" t="s">
        <v>2624</v>
      </c>
      <c r="D201" s="87">
        <v>17</v>
      </c>
      <c r="E201" s="87">
        <v>18</v>
      </c>
      <c r="F201" s="87">
        <v>6</v>
      </c>
      <c r="G201" s="87">
        <v>10</v>
      </c>
      <c r="H201" s="87">
        <v>10</v>
      </c>
      <c r="I201" s="87">
        <v>8</v>
      </c>
      <c r="J201" s="87">
        <v>69</v>
      </c>
      <c r="K201" s="51"/>
    </row>
    <row r="202" spans="1:11" s="68" customFormat="1" ht="15.6" x14ac:dyDescent="0.3">
      <c r="A202" s="84">
        <v>7473</v>
      </c>
      <c r="B202" s="17" t="s">
        <v>769</v>
      </c>
      <c r="C202" s="17" t="s">
        <v>2624</v>
      </c>
      <c r="D202" s="87">
        <v>17</v>
      </c>
      <c r="E202" s="87">
        <v>20</v>
      </c>
      <c r="F202" s="87">
        <v>19</v>
      </c>
      <c r="G202" s="87">
        <v>14</v>
      </c>
      <c r="H202" s="87">
        <v>10</v>
      </c>
      <c r="I202" s="87">
        <v>10</v>
      </c>
      <c r="J202" s="87">
        <v>90</v>
      </c>
      <c r="K202" s="51"/>
    </row>
    <row r="203" spans="1:11" s="68" customFormat="1" ht="15.6" x14ac:dyDescent="0.3">
      <c r="A203" s="84">
        <v>3032</v>
      </c>
      <c r="B203" s="17" t="s">
        <v>2620</v>
      </c>
      <c r="C203" s="17" t="s">
        <v>2624</v>
      </c>
      <c r="D203" s="87">
        <v>20</v>
      </c>
      <c r="E203" s="87">
        <v>17</v>
      </c>
      <c r="F203" s="87">
        <v>15</v>
      </c>
      <c r="G203" s="87">
        <v>11</v>
      </c>
      <c r="H203" s="87">
        <v>6</v>
      </c>
      <c r="I203" s="87">
        <v>6</v>
      </c>
      <c r="J203" s="87">
        <v>75</v>
      </c>
    </row>
    <row r="204" spans="1:11" s="68" customFormat="1" ht="15.6" x14ac:dyDescent="0.3">
      <c r="A204" s="84">
        <v>8504</v>
      </c>
      <c r="B204" s="17" t="s">
        <v>2619</v>
      </c>
      <c r="C204" s="17" t="s">
        <v>2624</v>
      </c>
      <c r="D204" s="87">
        <v>11</v>
      </c>
      <c r="E204" s="87">
        <v>12</v>
      </c>
      <c r="F204" s="87">
        <v>5</v>
      </c>
      <c r="G204" s="87">
        <v>7</v>
      </c>
      <c r="H204" s="87">
        <v>5</v>
      </c>
      <c r="I204" s="87">
        <v>10</v>
      </c>
      <c r="J204" s="87">
        <v>50</v>
      </c>
      <c r="K204" s="51"/>
    </row>
    <row r="205" spans="1:11" s="68" customFormat="1" ht="15.6" x14ac:dyDescent="0.3">
      <c r="A205" s="84">
        <v>6507</v>
      </c>
      <c r="B205" s="17" t="s">
        <v>805</v>
      </c>
      <c r="C205" s="17" t="s">
        <v>2624</v>
      </c>
      <c r="D205" s="87">
        <v>11</v>
      </c>
      <c r="E205" s="87">
        <v>20</v>
      </c>
      <c r="F205" s="87">
        <v>8</v>
      </c>
      <c r="G205" s="87">
        <v>7</v>
      </c>
      <c r="H205" s="87">
        <v>6</v>
      </c>
      <c r="I205" s="87">
        <v>10</v>
      </c>
      <c r="J205" s="87">
        <v>62</v>
      </c>
      <c r="K205" s="51"/>
    </row>
    <row r="206" spans="1:11" s="68" customFormat="1" ht="15.6" x14ac:dyDescent="0.3">
      <c r="A206" s="84">
        <v>8880</v>
      </c>
      <c r="B206" s="17" t="s">
        <v>35</v>
      </c>
      <c r="C206" s="17" t="s">
        <v>2624</v>
      </c>
      <c r="D206" s="87">
        <v>17</v>
      </c>
      <c r="E206" s="87">
        <v>8</v>
      </c>
      <c r="F206" s="87">
        <v>19</v>
      </c>
      <c r="G206" s="87">
        <v>11</v>
      </c>
      <c r="H206" s="87">
        <v>7</v>
      </c>
      <c r="I206" s="87">
        <v>5</v>
      </c>
      <c r="J206" s="87">
        <v>67</v>
      </c>
      <c r="K206" s="51"/>
    </row>
    <row r="207" spans="1:11" s="68" customFormat="1" ht="15.6" x14ac:dyDescent="0.3">
      <c r="A207" s="84">
        <v>5335</v>
      </c>
      <c r="B207" s="17" t="s">
        <v>230</v>
      </c>
      <c r="C207" s="17" t="s">
        <v>2624</v>
      </c>
      <c r="D207" s="87">
        <v>11</v>
      </c>
      <c r="E207" s="87">
        <v>18</v>
      </c>
      <c r="F207" s="87">
        <v>20</v>
      </c>
      <c r="G207" s="87">
        <v>16</v>
      </c>
      <c r="H207" s="87">
        <v>6</v>
      </c>
      <c r="I207" s="87">
        <v>9</v>
      </c>
      <c r="J207" s="87">
        <v>80</v>
      </c>
      <c r="K207" s="51"/>
    </row>
    <row r="208" spans="1:11" s="68" customFormat="1" ht="15.6" x14ac:dyDescent="0.3">
      <c r="A208" s="84">
        <v>3425</v>
      </c>
      <c r="B208" s="17" t="s">
        <v>2622</v>
      </c>
      <c r="C208" s="17" t="s">
        <v>2624</v>
      </c>
      <c r="D208" s="87">
        <v>7</v>
      </c>
      <c r="E208" s="87">
        <v>12</v>
      </c>
      <c r="F208" s="87">
        <v>20</v>
      </c>
      <c r="G208" s="87">
        <v>15</v>
      </c>
      <c r="H208" s="87">
        <v>10</v>
      </c>
      <c r="I208" s="87">
        <v>5</v>
      </c>
      <c r="J208" s="87">
        <v>69</v>
      </c>
    </row>
    <row r="209" spans="1:11" s="68" customFormat="1" ht="15.6" x14ac:dyDescent="0.3">
      <c r="A209" s="84">
        <v>6156</v>
      </c>
      <c r="B209" s="17" t="s">
        <v>1320</v>
      </c>
      <c r="C209" s="17" t="s">
        <v>2624</v>
      </c>
      <c r="D209" s="87">
        <v>6</v>
      </c>
      <c r="E209" s="87">
        <v>5</v>
      </c>
      <c r="F209" s="87">
        <v>15</v>
      </c>
      <c r="G209" s="87">
        <v>16</v>
      </c>
      <c r="H209" s="87">
        <v>10</v>
      </c>
      <c r="I209" s="87">
        <v>8</v>
      </c>
      <c r="J209" s="87">
        <v>60</v>
      </c>
      <c r="K209" s="51"/>
    </row>
    <row r="210" spans="1:11" s="68" customFormat="1" ht="15.6" x14ac:dyDescent="0.3">
      <c r="A210" s="84">
        <v>4528</v>
      </c>
      <c r="B210" s="17" t="s">
        <v>2621</v>
      </c>
      <c r="C210" s="17" t="s">
        <v>2624</v>
      </c>
      <c r="D210" s="87">
        <v>11</v>
      </c>
      <c r="E210" s="87">
        <v>14</v>
      </c>
      <c r="F210" s="87">
        <v>12</v>
      </c>
      <c r="G210" s="87">
        <v>18</v>
      </c>
      <c r="H210" s="87">
        <v>5</v>
      </c>
      <c r="I210" s="87">
        <v>6</v>
      </c>
      <c r="J210" s="87">
        <v>66</v>
      </c>
    </row>
    <row r="211" spans="1:11" s="68" customFormat="1" ht="15.6" x14ac:dyDescent="0.3">
      <c r="A211" s="84">
        <v>7495</v>
      </c>
      <c r="B211" s="17" t="s">
        <v>2623</v>
      </c>
      <c r="C211" s="17" t="s">
        <v>2624</v>
      </c>
      <c r="D211" s="87">
        <v>8</v>
      </c>
      <c r="E211" s="87">
        <v>14</v>
      </c>
      <c r="F211" s="87">
        <v>17</v>
      </c>
      <c r="G211" s="87">
        <v>6</v>
      </c>
      <c r="H211" s="87">
        <v>10</v>
      </c>
      <c r="I211" s="87">
        <v>5</v>
      </c>
      <c r="J211" s="87">
        <v>60</v>
      </c>
    </row>
    <row r="212" spans="1:11" s="68" customFormat="1" ht="15.6" x14ac:dyDescent="0.3">
      <c r="A212" s="84">
        <v>7044</v>
      </c>
      <c r="B212" s="17" t="s">
        <v>1393</v>
      </c>
      <c r="C212" s="17" t="s">
        <v>2624</v>
      </c>
      <c r="D212" s="87">
        <v>8</v>
      </c>
      <c r="E212" s="87">
        <v>10</v>
      </c>
      <c r="F212" s="87">
        <v>20</v>
      </c>
      <c r="G212" s="87">
        <v>15</v>
      </c>
      <c r="H212" s="87">
        <v>5</v>
      </c>
      <c r="I212" s="87">
        <v>5</v>
      </c>
      <c r="J212" s="87">
        <v>63</v>
      </c>
      <c r="K212" s="51"/>
    </row>
    <row r="213" spans="1:11" s="68" customFormat="1" ht="15.6" x14ac:dyDescent="0.3">
      <c r="A213" s="84">
        <v>8592</v>
      </c>
      <c r="B213" s="17" t="s">
        <v>752</v>
      </c>
      <c r="C213" s="17" t="s">
        <v>2624</v>
      </c>
      <c r="D213" s="87">
        <v>16</v>
      </c>
      <c r="E213" s="87">
        <v>16</v>
      </c>
      <c r="F213" s="87">
        <v>5</v>
      </c>
      <c r="G213" s="87">
        <v>7</v>
      </c>
      <c r="H213" s="87">
        <v>10</v>
      </c>
      <c r="I213" s="87">
        <v>8</v>
      </c>
      <c r="J213" s="87">
        <v>62</v>
      </c>
      <c r="K213" s="51"/>
    </row>
    <row r="214" spans="1:11" s="68" customFormat="1" ht="15.6" x14ac:dyDescent="0.3">
      <c r="A214" s="84">
        <v>6130</v>
      </c>
      <c r="B214" s="17" t="s">
        <v>209</v>
      </c>
      <c r="C214" s="17" t="s">
        <v>2624</v>
      </c>
      <c r="D214" s="87">
        <v>8</v>
      </c>
      <c r="E214" s="87">
        <v>11</v>
      </c>
      <c r="F214" s="87">
        <v>14</v>
      </c>
      <c r="G214" s="87">
        <v>12</v>
      </c>
      <c r="H214" s="87">
        <v>7</v>
      </c>
      <c r="I214" s="87">
        <v>10</v>
      </c>
      <c r="J214" s="87">
        <v>62</v>
      </c>
      <c r="K214" s="51"/>
    </row>
    <row r="215" spans="1:11" s="68" customFormat="1" ht="15.6" x14ac:dyDescent="0.3">
      <c r="A215" s="84">
        <v>8907</v>
      </c>
      <c r="B215" s="17" t="s">
        <v>1352</v>
      </c>
      <c r="C215" s="17" t="s">
        <v>2624</v>
      </c>
      <c r="D215" s="87">
        <v>14</v>
      </c>
      <c r="E215" s="87">
        <v>7</v>
      </c>
      <c r="F215" s="87">
        <v>15</v>
      </c>
      <c r="G215" s="87">
        <v>14</v>
      </c>
      <c r="H215" s="87">
        <v>6</v>
      </c>
      <c r="I215" s="87">
        <v>8</v>
      </c>
      <c r="J215" s="87">
        <v>64</v>
      </c>
      <c r="K215" s="51"/>
    </row>
    <row r="216" spans="1:11" s="68" customFormat="1" ht="15.6" x14ac:dyDescent="0.3">
      <c r="A216" s="84">
        <v>7443</v>
      </c>
      <c r="B216" s="17" t="s">
        <v>762</v>
      </c>
      <c r="C216" s="17" t="s">
        <v>2624</v>
      </c>
      <c r="D216" s="87">
        <v>17</v>
      </c>
      <c r="E216" s="87">
        <v>12</v>
      </c>
      <c r="F216" s="87">
        <v>8</v>
      </c>
      <c r="G216" s="87">
        <v>19</v>
      </c>
      <c r="H216" s="87">
        <v>8</v>
      </c>
      <c r="I216" s="87">
        <v>10</v>
      </c>
      <c r="J216" s="87">
        <v>74</v>
      </c>
      <c r="K216" s="51"/>
    </row>
  </sheetData>
  <sortState xmlns:xlrd2="http://schemas.microsoft.com/office/spreadsheetml/2017/richdata2" ref="A2:K217">
    <sortCondition ref="C2:C217"/>
    <sortCondition ref="B2:B217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C514"/>
  <sheetViews>
    <sheetView zoomScale="90" zoomScaleNormal="90" zoomScalePageLayoutView="60" workbookViewId="0"/>
  </sheetViews>
  <sheetFormatPr defaultColWidth="8.88671875" defaultRowHeight="14.4" x14ac:dyDescent="0.3"/>
  <sheetData>
    <row r="1" spans="1:3" ht="15.6" x14ac:dyDescent="0.3">
      <c r="A1" s="52" t="s">
        <v>1341</v>
      </c>
      <c r="B1" s="52" t="s">
        <v>3</v>
      </c>
      <c r="C1" s="52" t="s">
        <v>466</v>
      </c>
    </row>
    <row r="2" spans="1:3" ht="15.6" x14ac:dyDescent="0.3">
      <c r="A2" s="53" t="s">
        <v>467</v>
      </c>
      <c r="B2" s="53" t="s">
        <v>617</v>
      </c>
      <c r="C2" s="51" t="s">
        <v>843</v>
      </c>
    </row>
    <row r="3" spans="1:3" ht="15.6" x14ac:dyDescent="0.3">
      <c r="A3" s="53" t="s">
        <v>73</v>
      </c>
      <c r="B3" s="53" t="s">
        <v>74</v>
      </c>
      <c r="C3" s="51" t="s">
        <v>844</v>
      </c>
    </row>
    <row r="4" spans="1:3" ht="15.6" x14ac:dyDescent="0.3">
      <c r="A4" s="53" t="s">
        <v>468</v>
      </c>
      <c r="B4" s="53" t="s">
        <v>618</v>
      </c>
      <c r="C4" s="51" t="s">
        <v>845</v>
      </c>
    </row>
    <row r="5" spans="1:3" ht="15.6" x14ac:dyDescent="0.3">
      <c r="A5" s="53" t="s">
        <v>469</v>
      </c>
      <c r="B5" s="53" t="s">
        <v>619</v>
      </c>
      <c r="C5" s="51" t="s">
        <v>846</v>
      </c>
    </row>
    <row r="6" spans="1:3" ht="15.6" x14ac:dyDescent="0.3">
      <c r="A6" s="53" t="s">
        <v>470</v>
      </c>
      <c r="B6" s="53" t="s">
        <v>620</v>
      </c>
      <c r="C6" s="51" t="s">
        <v>847</v>
      </c>
    </row>
    <row r="7" spans="1:3" ht="15.6" x14ac:dyDescent="0.3">
      <c r="A7" s="53" t="s">
        <v>471</v>
      </c>
      <c r="B7" s="53" t="s">
        <v>621</v>
      </c>
      <c r="C7" s="51" t="s">
        <v>848</v>
      </c>
    </row>
    <row r="8" spans="1:3" ht="15.6" x14ac:dyDescent="0.3">
      <c r="A8" s="53" t="s">
        <v>64</v>
      </c>
      <c r="B8" s="53" t="s">
        <v>137</v>
      </c>
      <c r="C8" s="51" t="s">
        <v>849</v>
      </c>
    </row>
    <row r="9" spans="1:3" ht="15.6" x14ac:dyDescent="0.3">
      <c r="A9" s="53" t="s">
        <v>472</v>
      </c>
      <c r="B9" s="53" t="s">
        <v>622</v>
      </c>
      <c r="C9" s="51" t="s">
        <v>850</v>
      </c>
    </row>
    <row r="10" spans="1:3" ht="15.6" x14ac:dyDescent="0.3">
      <c r="A10" s="53" t="s">
        <v>455</v>
      </c>
      <c r="B10" s="53" t="s">
        <v>456</v>
      </c>
      <c r="C10" s="51" t="s">
        <v>851</v>
      </c>
    </row>
    <row r="11" spans="1:3" ht="15.6" x14ac:dyDescent="0.3">
      <c r="A11" s="53" t="s">
        <v>473</v>
      </c>
      <c r="B11" s="53" t="s">
        <v>623</v>
      </c>
      <c r="C11" s="51" t="s">
        <v>852</v>
      </c>
    </row>
    <row r="12" spans="1:3" ht="15.6" x14ac:dyDescent="0.3">
      <c r="A12" s="53" t="s">
        <v>474</v>
      </c>
      <c r="B12" s="53" t="s">
        <v>624</v>
      </c>
      <c r="C12" s="51" t="s">
        <v>853</v>
      </c>
    </row>
    <row r="13" spans="1:3" ht="15.6" x14ac:dyDescent="0.3">
      <c r="A13" s="53" t="s">
        <v>459</v>
      </c>
      <c r="B13" s="53" t="s">
        <v>460</v>
      </c>
      <c r="C13" s="51" t="s">
        <v>854</v>
      </c>
    </row>
    <row r="14" spans="1:3" ht="15.6" x14ac:dyDescent="0.3">
      <c r="A14" s="53" t="s">
        <v>36</v>
      </c>
      <c r="B14" s="53" t="s">
        <v>37</v>
      </c>
      <c r="C14" s="51" t="s">
        <v>855</v>
      </c>
    </row>
    <row r="15" spans="1:3" ht="15.6" x14ac:dyDescent="0.3">
      <c r="A15" s="53" t="s">
        <v>475</v>
      </c>
      <c r="B15" s="53" t="s">
        <v>625</v>
      </c>
      <c r="C15" s="51" t="s">
        <v>856</v>
      </c>
    </row>
    <row r="16" spans="1:3" ht="15.6" x14ac:dyDescent="0.3">
      <c r="A16" s="53" t="s">
        <v>476</v>
      </c>
      <c r="B16" s="53" t="s">
        <v>626</v>
      </c>
      <c r="C16" s="51" t="s">
        <v>857</v>
      </c>
    </row>
    <row r="17" spans="1:3" ht="15.6" x14ac:dyDescent="0.3">
      <c r="A17" s="53" t="s">
        <v>477</v>
      </c>
      <c r="B17" s="53" t="s">
        <v>627</v>
      </c>
      <c r="C17" s="51" t="s">
        <v>858</v>
      </c>
    </row>
    <row r="18" spans="1:3" ht="15.6" x14ac:dyDescent="0.3">
      <c r="A18" s="53" t="s">
        <v>478</v>
      </c>
      <c r="B18" s="53" t="s">
        <v>628</v>
      </c>
      <c r="C18" s="51" t="s">
        <v>859</v>
      </c>
    </row>
    <row r="19" spans="1:3" ht="15.6" x14ac:dyDescent="0.3">
      <c r="A19" s="53" t="s">
        <v>479</v>
      </c>
      <c r="B19" s="53" t="s">
        <v>629</v>
      </c>
      <c r="C19" s="51" t="s">
        <v>860</v>
      </c>
    </row>
    <row r="20" spans="1:3" ht="15.6" x14ac:dyDescent="0.3">
      <c r="A20" s="53" t="s">
        <v>480</v>
      </c>
      <c r="B20" s="53" t="s">
        <v>630</v>
      </c>
      <c r="C20" s="51" t="s">
        <v>861</v>
      </c>
    </row>
    <row r="21" spans="1:3" ht="15.6" x14ac:dyDescent="0.3">
      <c r="A21" s="53" t="s">
        <v>77</v>
      </c>
      <c r="B21" s="53" t="s">
        <v>78</v>
      </c>
      <c r="C21" s="51" t="s">
        <v>862</v>
      </c>
    </row>
    <row r="22" spans="1:3" ht="15.6" x14ac:dyDescent="0.3">
      <c r="A22" s="53" t="s">
        <v>481</v>
      </c>
      <c r="B22" s="53" t="s">
        <v>631</v>
      </c>
      <c r="C22" s="51" t="s">
        <v>863</v>
      </c>
    </row>
    <row r="23" spans="1:3" ht="15.6" x14ac:dyDescent="0.3">
      <c r="A23" s="53" t="s">
        <v>482</v>
      </c>
      <c r="B23" s="53" t="s">
        <v>632</v>
      </c>
      <c r="C23" s="51" t="s">
        <v>864</v>
      </c>
    </row>
    <row r="24" spans="1:3" ht="15.6" x14ac:dyDescent="0.3">
      <c r="A24" s="53" t="s">
        <v>483</v>
      </c>
      <c r="B24" s="53" t="s">
        <v>633</v>
      </c>
      <c r="C24" s="51" t="s">
        <v>865</v>
      </c>
    </row>
    <row r="25" spans="1:3" ht="15.6" x14ac:dyDescent="0.3">
      <c r="A25" s="53" t="s">
        <v>484</v>
      </c>
      <c r="B25" s="53" t="s">
        <v>634</v>
      </c>
      <c r="C25" s="51" t="s">
        <v>866</v>
      </c>
    </row>
    <row r="26" spans="1:3" ht="15.6" x14ac:dyDescent="0.3">
      <c r="A26" s="53" t="s">
        <v>485</v>
      </c>
      <c r="B26" s="53" t="s">
        <v>635</v>
      </c>
      <c r="C26" s="51" t="s">
        <v>867</v>
      </c>
    </row>
    <row r="27" spans="1:3" ht="15.6" x14ac:dyDescent="0.3">
      <c r="A27" s="53" t="s">
        <v>486</v>
      </c>
      <c r="B27" s="53" t="s">
        <v>636</v>
      </c>
      <c r="C27" s="51" t="s">
        <v>868</v>
      </c>
    </row>
    <row r="28" spans="1:3" ht="15.6" x14ac:dyDescent="0.3">
      <c r="A28" s="53" t="s">
        <v>83</v>
      </c>
      <c r="B28" s="53" t="s">
        <v>318</v>
      </c>
      <c r="C28" s="51" t="s">
        <v>869</v>
      </c>
    </row>
    <row r="29" spans="1:3" ht="15.6" x14ac:dyDescent="0.3">
      <c r="A29" s="53" t="s">
        <v>79</v>
      </c>
      <c r="B29" s="53" t="s">
        <v>80</v>
      </c>
      <c r="C29" s="51" t="s">
        <v>870</v>
      </c>
    </row>
    <row r="30" spans="1:3" ht="15.6" x14ac:dyDescent="0.3">
      <c r="A30" s="53" t="s">
        <v>487</v>
      </c>
      <c r="B30" s="53" t="s">
        <v>637</v>
      </c>
      <c r="C30" s="51" t="s">
        <v>871</v>
      </c>
    </row>
    <row r="31" spans="1:3" ht="15.6" x14ac:dyDescent="0.3">
      <c r="A31" s="53" t="s">
        <v>84</v>
      </c>
      <c r="B31" s="53" t="s">
        <v>250</v>
      </c>
      <c r="C31" s="51" t="s">
        <v>872</v>
      </c>
    </row>
    <row r="32" spans="1:3" ht="15.6" x14ac:dyDescent="0.3">
      <c r="A32" s="53" t="s">
        <v>85</v>
      </c>
      <c r="B32" s="53" t="s">
        <v>244</v>
      </c>
      <c r="C32" s="51" t="s">
        <v>873</v>
      </c>
    </row>
    <row r="33" spans="1:3" ht="15.6" x14ac:dyDescent="0.3">
      <c r="A33" s="53" t="s">
        <v>371</v>
      </c>
      <c r="B33" s="53" t="s">
        <v>372</v>
      </c>
      <c r="C33" s="51" t="s">
        <v>874</v>
      </c>
    </row>
    <row r="34" spans="1:3" ht="15.6" x14ac:dyDescent="0.3">
      <c r="A34" s="53" t="s">
        <v>488</v>
      </c>
      <c r="B34" s="53" t="s">
        <v>638</v>
      </c>
      <c r="C34" s="51" t="s">
        <v>875</v>
      </c>
    </row>
    <row r="35" spans="1:3" ht="15.6" x14ac:dyDescent="0.3">
      <c r="A35" s="53" t="s">
        <v>489</v>
      </c>
      <c r="B35" s="53" t="s">
        <v>1342</v>
      </c>
      <c r="C35" s="51" t="s">
        <v>876</v>
      </c>
    </row>
    <row r="36" spans="1:3" ht="15.6" x14ac:dyDescent="0.3">
      <c r="A36" s="53" t="s">
        <v>447</v>
      </c>
      <c r="B36" s="53" t="s">
        <v>448</v>
      </c>
      <c r="C36" s="51" t="s">
        <v>877</v>
      </c>
    </row>
    <row r="37" spans="1:3" ht="15.6" x14ac:dyDescent="0.3">
      <c r="A37" s="53" t="s">
        <v>490</v>
      </c>
      <c r="B37" s="53" t="s">
        <v>639</v>
      </c>
      <c r="C37" s="51" t="s">
        <v>878</v>
      </c>
    </row>
    <row r="38" spans="1:3" ht="15.6" x14ac:dyDescent="0.3">
      <c r="A38" s="53" t="s">
        <v>38</v>
      </c>
      <c r="B38" s="53" t="s">
        <v>39</v>
      </c>
      <c r="C38" s="51" t="s">
        <v>879</v>
      </c>
    </row>
    <row r="39" spans="1:3" ht="15.6" x14ac:dyDescent="0.3">
      <c r="A39" s="53" t="s">
        <v>491</v>
      </c>
      <c r="B39" s="53" t="s">
        <v>640</v>
      </c>
      <c r="C39" s="51" t="s">
        <v>880</v>
      </c>
    </row>
    <row r="40" spans="1:3" ht="15.6" x14ac:dyDescent="0.3">
      <c r="A40" s="53" t="s">
        <v>492</v>
      </c>
      <c r="B40" s="53" t="s">
        <v>641</v>
      </c>
      <c r="C40" s="51" t="s">
        <v>881</v>
      </c>
    </row>
    <row r="41" spans="1:3" ht="15.6" x14ac:dyDescent="0.3">
      <c r="A41" s="53" t="s">
        <v>493</v>
      </c>
      <c r="B41" s="53" t="s">
        <v>642</v>
      </c>
      <c r="C41" s="51" t="s">
        <v>882</v>
      </c>
    </row>
    <row r="42" spans="1:3" ht="15.6" x14ac:dyDescent="0.3">
      <c r="A42" s="53" t="s">
        <v>69</v>
      </c>
      <c r="B42" s="53" t="s">
        <v>70</v>
      </c>
      <c r="C42" s="51" t="s">
        <v>883</v>
      </c>
    </row>
    <row r="43" spans="1:3" ht="15.6" x14ac:dyDescent="0.3">
      <c r="A43" s="53" t="s">
        <v>50</v>
      </c>
      <c r="B43" s="53" t="s">
        <v>51</v>
      </c>
      <c r="C43" s="51" t="s">
        <v>884</v>
      </c>
    </row>
    <row r="44" spans="1:3" ht="15.6" x14ac:dyDescent="0.3">
      <c r="A44" s="53" t="s">
        <v>494</v>
      </c>
      <c r="B44" s="53" t="s">
        <v>643</v>
      </c>
      <c r="C44" s="51" t="s">
        <v>885</v>
      </c>
    </row>
    <row r="45" spans="1:3" ht="15.6" x14ac:dyDescent="0.3">
      <c r="A45" s="53" t="s">
        <v>48</v>
      </c>
      <c r="B45" s="53" t="s">
        <v>49</v>
      </c>
      <c r="C45" s="51" t="s">
        <v>886</v>
      </c>
    </row>
    <row r="46" spans="1:3" ht="15.6" x14ac:dyDescent="0.3">
      <c r="A46" s="53" t="s">
        <v>495</v>
      </c>
      <c r="B46" s="53" t="s">
        <v>644</v>
      </c>
      <c r="C46" s="51" t="s">
        <v>887</v>
      </c>
    </row>
    <row r="47" spans="1:3" ht="15.6" x14ac:dyDescent="0.3">
      <c r="A47" s="53" t="s">
        <v>71</v>
      </c>
      <c r="B47" s="53" t="s">
        <v>72</v>
      </c>
      <c r="C47" s="51" t="s">
        <v>888</v>
      </c>
    </row>
    <row r="48" spans="1:3" ht="15.6" x14ac:dyDescent="0.3">
      <c r="A48" s="53">
        <v>93</v>
      </c>
      <c r="B48" s="53" t="s">
        <v>645</v>
      </c>
      <c r="C48" s="51" t="e">
        <v>#N/A</v>
      </c>
    </row>
    <row r="49" spans="1:3" ht="15.6" x14ac:dyDescent="0.3">
      <c r="A49" s="53" t="s">
        <v>496</v>
      </c>
      <c r="B49" s="53" t="s">
        <v>646</v>
      </c>
      <c r="C49" s="51" t="s">
        <v>889</v>
      </c>
    </row>
    <row r="50" spans="1:3" ht="15.6" x14ac:dyDescent="0.3">
      <c r="A50" s="53" t="s">
        <v>497</v>
      </c>
      <c r="B50" s="53" t="s">
        <v>647</v>
      </c>
      <c r="C50" s="51" t="s">
        <v>890</v>
      </c>
    </row>
    <row r="51" spans="1:3" ht="15.6" x14ac:dyDescent="0.3">
      <c r="A51" s="53" t="s">
        <v>30</v>
      </c>
      <c r="B51" s="53" t="s">
        <v>31</v>
      </c>
      <c r="C51" s="51" t="s">
        <v>891</v>
      </c>
    </row>
    <row r="52" spans="1:3" ht="15.6" x14ac:dyDescent="0.3">
      <c r="A52" s="53" t="s">
        <v>498</v>
      </c>
      <c r="B52" s="53" t="s">
        <v>648</v>
      </c>
      <c r="C52" s="51" t="s">
        <v>892</v>
      </c>
    </row>
    <row r="53" spans="1:3" ht="15.6" x14ac:dyDescent="0.3">
      <c r="A53" s="53" t="s">
        <v>8</v>
      </c>
      <c r="B53" s="53" t="s">
        <v>5</v>
      </c>
      <c r="C53" s="51" t="s">
        <v>893</v>
      </c>
    </row>
    <row r="54" spans="1:3" ht="15.6" x14ac:dyDescent="0.3">
      <c r="A54" s="53" t="s">
        <v>42</v>
      </c>
      <c r="B54" s="53" t="s">
        <v>43</v>
      </c>
      <c r="C54" s="51" t="s">
        <v>894</v>
      </c>
    </row>
    <row r="55" spans="1:3" ht="15.6" x14ac:dyDescent="0.3">
      <c r="A55" s="53" t="s">
        <v>499</v>
      </c>
      <c r="B55" s="53" t="s">
        <v>649</v>
      </c>
      <c r="C55" s="51" t="s">
        <v>895</v>
      </c>
    </row>
    <row r="56" spans="1:3" ht="15.6" x14ac:dyDescent="0.3">
      <c r="A56" s="53" t="s">
        <v>500</v>
      </c>
      <c r="B56" s="53" t="s">
        <v>650</v>
      </c>
      <c r="C56" s="51" t="s">
        <v>896</v>
      </c>
    </row>
    <row r="57" spans="1:3" ht="15.6" x14ac:dyDescent="0.3">
      <c r="A57" s="53" t="s">
        <v>32</v>
      </c>
      <c r="B57" s="53" t="s">
        <v>33</v>
      </c>
      <c r="C57" s="51" t="s">
        <v>897</v>
      </c>
    </row>
    <row r="58" spans="1:3" ht="15.6" x14ac:dyDescent="0.3">
      <c r="A58" s="53" t="s">
        <v>29</v>
      </c>
      <c r="B58" s="53" t="s">
        <v>651</v>
      </c>
      <c r="C58" s="51" t="s">
        <v>898</v>
      </c>
    </row>
    <row r="59" spans="1:3" ht="15.6" x14ac:dyDescent="0.3">
      <c r="A59" s="53" t="s">
        <v>501</v>
      </c>
      <c r="B59" s="53" t="s">
        <v>652</v>
      </c>
      <c r="C59" s="51" t="s">
        <v>899</v>
      </c>
    </row>
    <row r="60" spans="1:3" ht="15.6" x14ac:dyDescent="0.3">
      <c r="A60" s="53" t="s">
        <v>502</v>
      </c>
      <c r="B60" s="53" t="s">
        <v>653</v>
      </c>
      <c r="C60" s="51" t="s">
        <v>900</v>
      </c>
    </row>
    <row r="61" spans="1:3" ht="15.6" x14ac:dyDescent="0.3">
      <c r="A61" s="53" t="s">
        <v>503</v>
      </c>
      <c r="B61" s="53" t="s">
        <v>654</v>
      </c>
      <c r="C61" s="51" t="s">
        <v>901</v>
      </c>
    </row>
    <row r="62" spans="1:3" ht="15.6" x14ac:dyDescent="0.3">
      <c r="A62" s="53" t="s">
        <v>504</v>
      </c>
      <c r="B62" s="53" t="s">
        <v>655</v>
      </c>
      <c r="C62" s="51" t="s">
        <v>902</v>
      </c>
    </row>
    <row r="63" spans="1:3" ht="15.6" x14ac:dyDescent="0.3">
      <c r="A63" s="53" t="s">
        <v>505</v>
      </c>
      <c r="B63" s="53" t="s">
        <v>656</v>
      </c>
      <c r="C63" s="51" t="e">
        <v>#N/A</v>
      </c>
    </row>
    <row r="64" spans="1:3" ht="15.6" x14ac:dyDescent="0.3">
      <c r="A64" s="53" t="s">
        <v>506</v>
      </c>
      <c r="B64" s="53" t="s">
        <v>657</v>
      </c>
      <c r="C64" s="51" t="s">
        <v>903</v>
      </c>
    </row>
    <row r="65" spans="1:3" ht="15.6" x14ac:dyDescent="0.3">
      <c r="A65" s="53" t="s">
        <v>54</v>
      </c>
      <c r="B65" s="53" t="s">
        <v>55</v>
      </c>
      <c r="C65" s="51" t="s">
        <v>904</v>
      </c>
    </row>
    <row r="66" spans="1:3" ht="15.6" x14ac:dyDescent="0.3">
      <c r="A66" s="53" t="s">
        <v>62</v>
      </c>
      <c r="B66" s="53" t="s">
        <v>63</v>
      </c>
      <c r="C66" s="51" t="s">
        <v>905</v>
      </c>
    </row>
    <row r="67" spans="1:3" ht="15.6" x14ac:dyDescent="0.3">
      <c r="A67" s="53" t="s">
        <v>507</v>
      </c>
      <c r="B67" s="53" t="s">
        <v>658</v>
      </c>
      <c r="C67" s="51" t="s">
        <v>906</v>
      </c>
    </row>
    <row r="68" spans="1:3" ht="15.6" x14ac:dyDescent="0.3">
      <c r="A68" s="53" t="s">
        <v>58</v>
      </c>
      <c r="B68" s="53" t="s">
        <v>59</v>
      </c>
      <c r="C68" s="51" t="s">
        <v>907</v>
      </c>
    </row>
    <row r="69" spans="1:3" ht="15.6" x14ac:dyDescent="0.3">
      <c r="A69" s="53" t="s">
        <v>508</v>
      </c>
      <c r="B69" s="53" t="s">
        <v>659</v>
      </c>
      <c r="C69" s="51" t="s">
        <v>908</v>
      </c>
    </row>
    <row r="70" spans="1:3" ht="15.6" x14ac:dyDescent="0.3">
      <c r="A70" s="53" t="s">
        <v>428</v>
      </c>
      <c r="B70" s="53" t="s">
        <v>429</v>
      </c>
      <c r="C70" s="51" t="s">
        <v>909</v>
      </c>
    </row>
    <row r="71" spans="1:3" ht="15.6" x14ac:dyDescent="0.3">
      <c r="A71" s="53" t="s">
        <v>509</v>
      </c>
      <c r="B71" s="53" t="s">
        <v>660</v>
      </c>
      <c r="C71" s="51" t="s">
        <v>910</v>
      </c>
    </row>
    <row r="72" spans="1:3" ht="15.6" x14ac:dyDescent="0.3">
      <c r="A72" s="53" t="s">
        <v>510</v>
      </c>
      <c r="B72" s="53" t="s">
        <v>661</v>
      </c>
      <c r="C72" s="51" t="s">
        <v>911</v>
      </c>
    </row>
    <row r="73" spans="1:3" ht="15.6" x14ac:dyDescent="0.3">
      <c r="A73" s="53" t="s">
        <v>511</v>
      </c>
      <c r="B73" s="53" t="s">
        <v>662</v>
      </c>
      <c r="C73" s="51" t="s">
        <v>912</v>
      </c>
    </row>
    <row r="74" spans="1:3" ht="15.6" x14ac:dyDescent="0.3">
      <c r="A74" s="53" t="s">
        <v>67</v>
      </c>
      <c r="B74" s="53" t="s">
        <v>136</v>
      </c>
      <c r="C74" s="51" t="s">
        <v>913</v>
      </c>
    </row>
    <row r="75" spans="1:3" ht="15.6" x14ac:dyDescent="0.3">
      <c r="A75" s="53" t="s">
        <v>18</v>
      </c>
      <c r="B75" s="53" t="s">
        <v>19</v>
      </c>
      <c r="C75" s="51" t="s">
        <v>914</v>
      </c>
    </row>
    <row r="76" spans="1:3" ht="15.6" x14ac:dyDescent="0.3">
      <c r="A76" s="53" t="s">
        <v>86</v>
      </c>
      <c r="B76" s="53" t="s">
        <v>248</v>
      </c>
      <c r="C76" s="51" t="s">
        <v>915</v>
      </c>
    </row>
    <row r="77" spans="1:3" ht="15.6" x14ac:dyDescent="0.3">
      <c r="A77" s="53" t="s">
        <v>512</v>
      </c>
      <c r="B77" s="53" t="s">
        <v>663</v>
      </c>
      <c r="C77" s="51" t="s">
        <v>916</v>
      </c>
    </row>
    <row r="78" spans="1:3" ht="15.6" x14ac:dyDescent="0.3">
      <c r="A78" s="53" t="s">
        <v>513</v>
      </c>
      <c r="B78" s="53" t="s">
        <v>664</v>
      </c>
      <c r="C78" s="51" t="s">
        <v>917</v>
      </c>
    </row>
    <row r="79" spans="1:3" ht="15.6" x14ac:dyDescent="0.3">
      <c r="A79" s="53" t="s">
        <v>514</v>
      </c>
      <c r="B79" s="53" t="s">
        <v>665</v>
      </c>
      <c r="C79" s="51" t="s">
        <v>918</v>
      </c>
    </row>
    <row r="80" spans="1:3" ht="15.6" x14ac:dyDescent="0.3">
      <c r="A80" s="53">
        <v>139</v>
      </c>
      <c r="B80" s="53" t="s">
        <v>666</v>
      </c>
      <c r="C80" s="51" t="e">
        <v>#N/A</v>
      </c>
    </row>
    <row r="81" spans="1:3" ht="15.6" x14ac:dyDescent="0.3">
      <c r="A81" s="53" t="s">
        <v>515</v>
      </c>
      <c r="B81" s="53" t="s">
        <v>667</v>
      </c>
      <c r="C81" s="51" t="s">
        <v>919</v>
      </c>
    </row>
    <row r="82" spans="1:3" ht="15.6" x14ac:dyDescent="0.3">
      <c r="A82" s="53" t="s">
        <v>164</v>
      </c>
      <c r="B82" s="53" t="s">
        <v>242</v>
      </c>
      <c r="C82" s="51" t="s">
        <v>920</v>
      </c>
    </row>
    <row r="83" spans="1:3" ht="15.6" x14ac:dyDescent="0.3">
      <c r="A83" s="53" t="s">
        <v>44</v>
      </c>
      <c r="B83" s="53" t="s">
        <v>45</v>
      </c>
      <c r="C83" s="51" t="s">
        <v>921</v>
      </c>
    </row>
    <row r="84" spans="1:3" ht="15.6" x14ac:dyDescent="0.3">
      <c r="A84" s="53" t="s">
        <v>445</v>
      </c>
      <c r="B84" s="53" t="s">
        <v>446</v>
      </c>
      <c r="C84" s="51" t="s">
        <v>922</v>
      </c>
    </row>
    <row r="85" spans="1:3" ht="15.6" x14ac:dyDescent="0.3">
      <c r="A85" s="53" t="s">
        <v>40</v>
      </c>
      <c r="B85" s="53" t="s">
        <v>41</v>
      </c>
      <c r="C85" s="51" t="e">
        <v>#N/A</v>
      </c>
    </row>
    <row r="86" spans="1:3" ht="15.6" x14ac:dyDescent="0.3">
      <c r="A86" s="53" t="s">
        <v>516</v>
      </c>
      <c r="B86" s="53" t="s">
        <v>668</v>
      </c>
      <c r="C86" s="51" t="s">
        <v>923</v>
      </c>
    </row>
    <row r="87" spans="1:3" ht="15.6" x14ac:dyDescent="0.3">
      <c r="A87" s="53" t="s">
        <v>75</v>
      </c>
      <c r="B87" s="53" t="s">
        <v>76</v>
      </c>
      <c r="C87" s="51" t="s">
        <v>924</v>
      </c>
    </row>
    <row r="88" spans="1:3" ht="15.6" x14ac:dyDescent="0.3">
      <c r="A88" s="53" t="s">
        <v>517</v>
      </c>
      <c r="B88" s="53" t="s">
        <v>669</v>
      </c>
      <c r="C88" s="51" t="s">
        <v>925</v>
      </c>
    </row>
    <row r="89" spans="1:3" ht="15.6" x14ac:dyDescent="0.3">
      <c r="A89" s="53" t="s">
        <v>87</v>
      </c>
      <c r="B89" s="53" t="s">
        <v>247</v>
      </c>
      <c r="C89" s="51" t="s">
        <v>926</v>
      </c>
    </row>
    <row r="90" spans="1:3" ht="15.6" x14ac:dyDescent="0.3">
      <c r="A90" s="53">
        <v>152</v>
      </c>
      <c r="B90" s="53" t="s">
        <v>670</v>
      </c>
      <c r="C90" s="51" t="e">
        <v>#N/A</v>
      </c>
    </row>
    <row r="91" spans="1:3" ht="15.6" x14ac:dyDescent="0.3">
      <c r="A91" s="53" t="s">
        <v>518</v>
      </c>
      <c r="B91" s="53" t="s">
        <v>671</v>
      </c>
      <c r="C91" s="51" t="s">
        <v>927</v>
      </c>
    </row>
    <row r="92" spans="1:3" ht="15.6" x14ac:dyDescent="0.3">
      <c r="A92" s="53" t="s">
        <v>81</v>
      </c>
      <c r="B92" s="53" t="s">
        <v>82</v>
      </c>
      <c r="C92" s="51" t="s">
        <v>928</v>
      </c>
    </row>
    <row r="93" spans="1:3" ht="15.6" x14ac:dyDescent="0.3">
      <c r="A93" s="53" t="s">
        <v>432</v>
      </c>
      <c r="B93" s="53" t="s">
        <v>433</v>
      </c>
      <c r="C93" s="51" t="s">
        <v>929</v>
      </c>
    </row>
    <row r="94" spans="1:3" ht="15.6" x14ac:dyDescent="0.3">
      <c r="A94" s="53" t="s">
        <v>519</v>
      </c>
      <c r="B94" s="53" t="s">
        <v>672</v>
      </c>
      <c r="C94" s="51" t="s">
        <v>930</v>
      </c>
    </row>
    <row r="95" spans="1:3" ht="15.6" x14ac:dyDescent="0.3">
      <c r="A95" s="53" t="s">
        <v>520</v>
      </c>
      <c r="B95" s="53" t="s">
        <v>673</v>
      </c>
      <c r="C95" s="51" t="s">
        <v>931</v>
      </c>
    </row>
    <row r="96" spans="1:3" ht="15.6" x14ac:dyDescent="0.3">
      <c r="A96" s="53" t="s">
        <v>521</v>
      </c>
      <c r="B96" s="53" t="s">
        <v>674</v>
      </c>
      <c r="C96" s="51" t="s">
        <v>932</v>
      </c>
    </row>
    <row r="97" spans="1:3" ht="15.6" x14ac:dyDescent="0.3">
      <c r="A97" s="53" t="s">
        <v>65</v>
      </c>
      <c r="B97" s="53" t="s">
        <v>66</v>
      </c>
      <c r="C97" s="51" t="s">
        <v>933</v>
      </c>
    </row>
    <row r="98" spans="1:3" ht="15.6" x14ac:dyDescent="0.3">
      <c r="A98" s="53" t="s">
        <v>451</v>
      </c>
      <c r="B98" s="53" t="s">
        <v>452</v>
      </c>
      <c r="C98" s="51" t="s">
        <v>934</v>
      </c>
    </row>
    <row r="99" spans="1:3" ht="15.6" x14ac:dyDescent="0.3">
      <c r="A99" s="53" t="s">
        <v>522</v>
      </c>
      <c r="B99" s="53" t="s">
        <v>675</v>
      </c>
      <c r="C99" s="51" t="s">
        <v>935</v>
      </c>
    </row>
    <row r="100" spans="1:3" ht="15.6" x14ac:dyDescent="0.3">
      <c r="A100" s="53" t="s">
        <v>52</v>
      </c>
      <c r="B100" s="53" t="s">
        <v>53</v>
      </c>
      <c r="C100" s="51" t="s">
        <v>936</v>
      </c>
    </row>
    <row r="101" spans="1:3" ht="15.6" x14ac:dyDescent="0.3">
      <c r="A101" s="53" t="s">
        <v>523</v>
      </c>
      <c r="B101" s="53" t="s">
        <v>676</v>
      </c>
      <c r="C101" s="51" t="s">
        <v>937</v>
      </c>
    </row>
    <row r="102" spans="1:3" ht="15.6" x14ac:dyDescent="0.3">
      <c r="A102" s="53">
        <v>168</v>
      </c>
      <c r="B102" s="53" t="s">
        <v>677</v>
      </c>
      <c r="C102" s="51" t="e">
        <v>#N/A</v>
      </c>
    </row>
    <row r="103" spans="1:3" ht="15.6" x14ac:dyDescent="0.3">
      <c r="A103" s="53" t="s">
        <v>24</v>
      </c>
      <c r="B103" s="53" t="s">
        <v>25</v>
      </c>
      <c r="C103" s="51" t="s">
        <v>938</v>
      </c>
    </row>
    <row r="104" spans="1:3" ht="15.6" x14ac:dyDescent="0.3">
      <c r="A104" s="53" t="s">
        <v>56</v>
      </c>
      <c r="B104" s="53" t="s">
        <v>57</v>
      </c>
      <c r="C104" s="51" t="s">
        <v>939</v>
      </c>
    </row>
    <row r="105" spans="1:3" ht="15.6" x14ac:dyDescent="0.3">
      <c r="A105" s="53" t="s">
        <v>434</v>
      </c>
      <c r="B105" s="53" t="s">
        <v>435</v>
      </c>
      <c r="C105" s="51" t="s">
        <v>940</v>
      </c>
    </row>
    <row r="106" spans="1:3" ht="15.6" x14ac:dyDescent="0.3">
      <c r="A106" s="53" t="s">
        <v>401</v>
      </c>
      <c r="B106" s="53" t="s">
        <v>402</v>
      </c>
      <c r="C106" s="51" t="s">
        <v>941</v>
      </c>
    </row>
    <row r="107" spans="1:3" ht="15.6" x14ac:dyDescent="0.3">
      <c r="A107" s="53" t="s">
        <v>524</v>
      </c>
      <c r="B107" s="53" t="s">
        <v>678</v>
      </c>
      <c r="C107" s="51" t="s">
        <v>942</v>
      </c>
    </row>
    <row r="108" spans="1:3" ht="15.6" x14ac:dyDescent="0.3">
      <c r="A108" s="53" t="s">
        <v>438</v>
      </c>
      <c r="B108" s="53" t="s">
        <v>439</v>
      </c>
      <c r="C108" s="51" t="s">
        <v>943</v>
      </c>
    </row>
    <row r="109" spans="1:3" ht="15.6" x14ac:dyDescent="0.3">
      <c r="A109" s="53" t="s">
        <v>430</v>
      </c>
      <c r="B109" s="53" t="s">
        <v>431</v>
      </c>
      <c r="C109" s="51" t="s">
        <v>944</v>
      </c>
    </row>
    <row r="110" spans="1:3" ht="15.6" x14ac:dyDescent="0.3">
      <c r="A110" s="53" t="s">
        <v>46</v>
      </c>
      <c r="B110" s="53" t="s">
        <v>47</v>
      </c>
      <c r="C110" s="51" t="s">
        <v>945</v>
      </c>
    </row>
    <row r="111" spans="1:3" ht="15.6" x14ac:dyDescent="0.3">
      <c r="A111" s="53" t="s">
        <v>525</v>
      </c>
      <c r="B111" s="53" t="s">
        <v>679</v>
      </c>
      <c r="C111" s="51" t="s">
        <v>946</v>
      </c>
    </row>
    <row r="112" spans="1:3" ht="15.6" x14ac:dyDescent="0.3">
      <c r="A112" s="53" t="s">
        <v>526</v>
      </c>
      <c r="B112" s="53" t="s">
        <v>680</v>
      </c>
      <c r="C112" s="51" t="s">
        <v>947</v>
      </c>
    </row>
    <row r="113" spans="1:3" ht="15.6" x14ac:dyDescent="0.3">
      <c r="A113" s="53" t="s">
        <v>527</v>
      </c>
      <c r="B113" s="53" t="s">
        <v>681</v>
      </c>
      <c r="C113" s="51" t="s">
        <v>948</v>
      </c>
    </row>
    <row r="114" spans="1:3" ht="15.6" x14ac:dyDescent="0.3">
      <c r="A114" s="53" t="s">
        <v>60</v>
      </c>
      <c r="B114" s="53" t="s">
        <v>61</v>
      </c>
      <c r="C114" s="51" t="s">
        <v>949</v>
      </c>
    </row>
    <row r="115" spans="1:3" ht="15.6" x14ac:dyDescent="0.3">
      <c r="A115" s="53" t="s">
        <v>528</v>
      </c>
      <c r="B115" s="53" t="s">
        <v>682</v>
      </c>
      <c r="C115" s="51" t="s">
        <v>950</v>
      </c>
    </row>
    <row r="116" spans="1:3" ht="15.6" x14ac:dyDescent="0.3">
      <c r="A116" s="53" t="s">
        <v>34</v>
      </c>
      <c r="B116" s="53" t="s">
        <v>35</v>
      </c>
      <c r="C116" s="51" t="s">
        <v>951</v>
      </c>
    </row>
    <row r="117" spans="1:3" ht="15.6" x14ac:dyDescent="0.3">
      <c r="A117" s="53" t="s">
        <v>443</v>
      </c>
      <c r="B117" s="53" t="s">
        <v>444</v>
      </c>
      <c r="C117" s="51" t="s">
        <v>952</v>
      </c>
    </row>
    <row r="118" spans="1:3" ht="15.6" x14ac:dyDescent="0.3">
      <c r="A118" s="53" t="s">
        <v>449</v>
      </c>
      <c r="B118" s="53" t="s">
        <v>450</v>
      </c>
      <c r="C118" s="51" t="s">
        <v>953</v>
      </c>
    </row>
    <row r="119" spans="1:3" ht="15.6" x14ac:dyDescent="0.3">
      <c r="A119" s="53" t="s">
        <v>529</v>
      </c>
      <c r="B119" s="53" t="s">
        <v>683</v>
      </c>
      <c r="C119" s="51" t="s">
        <v>954</v>
      </c>
    </row>
    <row r="120" spans="1:3" ht="15.6" x14ac:dyDescent="0.3">
      <c r="A120" s="53" t="s">
        <v>530</v>
      </c>
      <c r="B120" s="53" t="s">
        <v>1343</v>
      </c>
      <c r="C120" s="51" t="s">
        <v>955</v>
      </c>
    </row>
    <row r="121" spans="1:3" ht="15.6" x14ac:dyDescent="0.3">
      <c r="A121" s="53" t="s">
        <v>531</v>
      </c>
      <c r="B121" s="53" t="s">
        <v>684</v>
      </c>
      <c r="C121" s="51" t="s">
        <v>956</v>
      </c>
    </row>
    <row r="122" spans="1:3" ht="15.6" x14ac:dyDescent="0.3">
      <c r="A122" s="53" t="s">
        <v>1344</v>
      </c>
      <c r="B122" s="53" t="s">
        <v>1345</v>
      </c>
      <c r="C122" s="51" t="e">
        <v>#N/A</v>
      </c>
    </row>
    <row r="123" spans="1:3" ht="15.6" x14ac:dyDescent="0.3">
      <c r="A123" s="53" t="s">
        <v>9</v>
      </c>
      <c r="B123" s="53" t="s">
        <v>10</v>
      </c>
      <c r="C123" s="51" t="s">
        <v>957</v>
      </c>
    </row>
    <row r="124" spans="1:3" ht="15.6" x14ac:dyDescent="0.3">
      <c r="A124" s="53" t="s">
        <v>532</v>
      </c>
      <c r="B124" s="53" t="s">
        <v>685</v>
      </c>
      <c r="C124" s="51" t="s">
        <v>958</v>
      </c>
    </row>
    <row r="125" spans="1:3" ht="15.6" x14ac:dyDescent="0.3">
      <c r="A125" s="53" t="s">
        <v>533</v>
      </c>
      <c r="B125" s="53" t="s">
        <v>686</v>
      </c>
      <c r="C125" s="51" t="s">
        <v>959</v>
      </c>
    </row>
    <row r="126" spans="1:3" ht="15.6" x14ac:dyDescent="0.3">
      <c r="A126" s="53" t="s">
        <v>11</v>
      </c>
      <c r="B126" s="53" t="s">
        <v>12</v>
      </c>
      <c r="C126" s="51" t="s">
        <v>960</v>
      </c>
    </row>
    <row r="127" spans="1:3" ht="15.6" x14ac:dyDescent="0.3">
      <c r="A127" s="53" t="s">
        <v>88</v>
      </c>
      <c r="B127" s="53" t="s">
        <v>249</v>
      </c>
      <c r="C127" s="51" t="s">
        <v>961</v>
      </c>
    </row>
    <row r="128" spans="1:3" ht="15.6" x14ac:dyDescent="0.3">
      <c r="A128" s="53" t="s">
        <v>27</v>
      </c>
      <c r="B128" s="53" t="s">
        <v>28</v>
      </c>
      <c r="C128" s="51" t="s">
        <v>962</v>
      </c>
    </row>
    <row r="129" spans="1:3" ht="15.6" x14ac:dyDescent="0.3">
      <c r="A129" s="53" t="s">
        <v>6</v>
      </c>
      <c r="B129" s="53" t="s">
        <v>226</v>
      </c>
      <c r="C129" s="51" t="s">
        <v>963</v>
      </c>
    </row>
    <row r="130" spans="1:3" ht="15.6" x14ac:dyDescent="0.3">
      <c r="A130" s="53" t="s">
        <v>22</v>
      </c>
      <c r="B130" s="53" t="s">
        <v>23</v>
      </c>
      <c r="C130" s="51" t="s">
        <v>964</v>
      </c>
    </row>
    <row r="131" spans="1:3" ht="15.6" x14ac:dyDescent="0.3">
      <c r="A131" s="53" t="s">
        <v>534</v>
      </c>
      <c r="B131" s="53" t="s">
        <v>687</v>
      </c>
      <c r="C131" s="51" t="s">
        <v>965</v>
      </c>
    </row>
    <row r="132" spans="1:3" ht="15.6" x14ac:dyDescent="0.3">
      <c r="A132" s="53" t="s">
        <v>535</v>
      </c>
      <c r="B132" s="53" t="s">
        <v>1346</v>
      </c>
      <c r="C132" s="51" t="s">
        <v>966</v>
      </c>
    </row>
    <row r="133" spans="1:3" ht="15.6" x14ac:dyDescent="0.3">
      <c r="A133" s="53" t="s">
        <v>13</v>
      </c>
      <c r="B133" s="53" t="s">
        <v>14</v>
      </c>
      <c r="C133" s="51" t="s">
        <v>967</v>
      </c>
    </row>
    <row r="134" spans="1:3" ht="15.6" x14ac:dyDescent="0.3">
      <c r="A134" s="53" t="s">
        <v>536</v>
      </c>
      <c r="B134" s="53" t="s">
        <v>688</v>
      </c>
      <c r="C134" s="51" t="s">
        <v>968</v>
      </c>
    </row>
    <row r="135" spans="1:3" ht="15.6" x14ac:dyDescent="0.3">
      <c r="A135" s="53" t="s">
        <v>15</v>
      </c>
      <c r="B135" s="53" t="s">
        <v>1347</v>
      </c>
      <c r="C135" s="51" t="s">
        <v>969</v>
      </c>
    </row>
    <row r="136" spans="1:3" ht="15.6" x14ac:dyDescent="0.3">
      <c r="A136" s="53" t="s">
        <v>537</v>
      </c>
      <c r="B136" s="53" t="s">
        <v>689</v>
      </c>
      <c r="C136" s="51" t="s">
        <v>970</v>
      </c>
    </row>
    <row r="137" spans="1:3" ht="15.6" x14ac:dyDescent="0.3">
      <c r="A137" s="53" t="s">
        <v>538</v>
      </c>
      <c r="B137" s="53" t="s">
        <v>690</v>
      </c>
      <c r="C137" s="51" t="s">
        <v>971</v>
      </c>
    </row>
    <row r="138" spans="1:3" ht="15.6" x14ac:dyDescent="0.3">
      <c r="A138" s="53" t="s">
        <v>16</v>
      </c>
      <c r="B138" s="53" t="s">
        <v>17</v>
      </c>
      <c r="C138" s="51" t="s">
        <v>972</v>
      </c>
    </row>
    <row r="139" spans="1:3" ht="15.6" x14ac:dyDescent="0.3">
      <c r="A139" s="53" t="s">
        <v>539</v>
      </c>
      <c r="B139" s="53" t="s">
        <v>691</v>
      </c>
      <c r="C139" s="51" t="s">
        <v>973</v>
      </c>
    </row>
    <row r="140" spans="1:3" ht="15.6" x14ac:dyDescent="0.3">
      <c r="A140" s="53" t="s">
        <v>540</v>
      </c>
      <c r="B140" s="53" t="s">
        <v>1348</v>
      </c>
      <c r="C140" s="51" t="s">
        <v>974</v>
      </c>
    </row>
    <row r="141" spans="1:3" ht="15.6" x14ac:dyDescent="0.3">
      <c r="A141" s="53" t="s">
        <v>92</v>
      </c>
      <c r="B141" s="53" t="s">
        <v>1333</v>
      </c>
      <c r="C141" s="51" t="s">
        <v>975</v>
      </c>
    </row>
    <row r="142" spans="1:3" ht="15.6" x14ac:dyDescent="0.3">
      <c r="A142" s="53" t="s">
        <v>123</v>
      </c>
      <c r="B142" s="53" t="s">
        <v>198</v>
      </c>
      <c r="C142" s="51" t="s">
        <v>976</v>
      </c>
    </row>
    <row r="143" spans="1:3" ht="15.6" x14ac:dyDescent="0.3">
      <c r="A143" s="53" t="s">
        <v>91</v>
      </c>
      <c r="B143" s="53" t="s">
        <v>1334</v>
      </c>
      <c r="C143" s="51" t="s">
        <v>977</v>
      </c>
    </row>
    <row r="144" spans="1:3" ht="15.6" x14ac:dyDescent="0.3">
      <c r="A144" s="53" t="s">
        <v>541</v>
      </c>
      <c r="B144" s="53" t="s">
        <v>692</v>
      </c>
      <c r="C144" s="51" t="s">
        <v>978</v>
      </c>
    </row>
    <row r="145" spans="1:3" ht="15.6" x14ac:dyDescent="0.3">
      <c r="A145" s="53" t="s">
        <v>542</v>
      </c>
      <c r="B145" s="53" t="s">
        <v>693</v>
      </c>
      <c r="C145" s="51" t="s">
        <v>979</v>
      </c>
    </row>
    <row r="146" spans="1:3" ht="15.6" x14ac:dyDescent="0.3">
      <c r="A146" s="53" t="s">
        <v>543</v>
      </c>
      <c r="B146" s="53" t="s">
        <v>694</v>
      </c>
      <c r="C146" s="51" t="s">
        <v>980</v>
      </c>
    </row>
    <row r="147" spans="1:3" ht="15.6" x14ac:dyDescent="0.3">
      <c r="A147" s="53" t="s">
        <v>130</v>
      </c>
      <c r="B147" s="53" t="s">
        <v>277</v>
      </c>
      <c r="C147" s="51" t="s">
        <v>981</v>
      </c>
    </row>
    <row r="148" spans="1:3" ht="15.6" x14ac:dyDescent="0.3">
      <c r="A148" s="53" t="s">
        <v>109</v>
      </c>
      <c r="B148" s="53" t="s">
        <v>215</v>
      </c>
      <c r="C148" s="51" t="s">
        <v>982</v>
      </c>
    </row>
    <row r="149" spans="1:3" ht="15.6" x14ac:dyDescent="0.3">
      <c r="A149" s="53" t="s">
        <v>544</v>
      </c>
      <c r="B149" s="53" t="s">
        <v>695</v>
      </c>
      <c r="C149" s="51" t="s">
        <v>983</v>
      </c>
    </row>
    <row r="150" spans="1:3" ht="15.6" x14ac:dyDescent="0.3">
      <c r="A150" s="53" t="s">
        <v>127</v>
      </c>
      <c r="B150" s="53" t="s">
        <v>210</v>
      </c>
      <c r="C150" s="51" t="s">
        <v>984</v>
      </c>
    </row>
    <row r="151" spans="1:3" ht="15.6" x14ac:dyDescent="0.3">
      <c r="A151" s="53" t="s">
        <v>90</v>
      </c>
      <c r="B151" s="53" t="s">
        <v>231</v>
      </c>
      <c r="C151" s="51" t="s">
        <v>985</v>
      </c>
    </row>
    <row r="152" spans="1:3" ht="15.6" x14ac:dyDescent="0.3">
      <c r="A152" s="53" t="s">
        <v>99</v>
      </c>
      <c r="B152" s="53" t="s">
        <v>217</v>
      </c>
      <c r="C152" s="51" t="s">
        <v>986</v>
      </c>
    </row>
    <row r="153" spans="1:3" ht="15.6" x14ac:dyDescent="0.3">
      <c r="A153" s="53" t="s">
        <v>407</v>
      </c>
      <c r="B153" s="53" t="s">
        <v>408</v>
      </c>
      <c r="C153" s="51" t="s">
        <v>987</v>
      </c>
    </row>
    <row r="154" spans="1:3" ht="15.6" x14ac:dyDescent="0.3">
      <c r="A154" s="53" t="s">
        <v>133</v>
      </c>
      <c r="B154" s="53" t="s">
        <v>238</v>
      </c>
      <c r="C154" s="51" t="s">
        <v>988</v>
      </c>
    </row>
    <row r="155" spans="1:3" ht="15.6" x14ac:dyDescent="0.3">
      <c r="A155" s="53" t="s">
        <v>149</v>
      </c>
      <c r="B155" s="53" t="s">
        <v>236</v>
      </c>
      <c r="C155" s="51" t="s">
        <v>989</v>
      </c>
    </row>
    <row r="156" spans="1:3" ht="15.6" x14ac:dyDescent="0.3">
      <c r="A156" s="53" t="s">
        <v>115</v>
      </c>
      <c r="B156" s="53" t="s">
        <v>263</v>
      </c>
      <c r="C156" s="51" t="s">
        <v>990</v>
      </c>
    </row>
    <row r="157" spans="1:3" ht="15.6" x14ac:dyDescent="0.3">
      <c r="A157" s="53" t="s">
        <v>436</v>
      </c>
      <c r="B157" s="53" t="s">
        <v>437</v>
      </c>
      <c r="C157" s="51" t="s">
        <v>991</v>
      </c>
    </row>
    <row r="158" spans="1:3" ht="15.6" x14ac:dyDescent="0.3">
      <c r="A158" s="53" t="s">
        <v>131</v>
      </c>
      <c r="B158" s="53" t="s">
        <v>237</v>
      </c>
      <c r="C158" s="51" t="s">
        <v>992</v>
      </c>
    </row>
    <row r="159" spans="1:3" ht="15.6" x14ac:dyDescent="0.3">
      <c r="A159" s="53" t="s">
        <v>143</v>
      </c>
      <c r="B159" s="53" t="s">
        <v>184</v>
      </c>
      <c r="C159" s="51" t="s">
        <v>993</v>
      </c>
    </row>
    <row r="160" spans="1:3" ht="15.6" x14ac:dyDescent="0.3">
      <c r="A160" s="53" t="s">
        <v>545</v>
      </c>
      <c r="B160" s="53" t="s">
        <v>696</v>
      </c>
      <c r="C160" s="51" t="s">
        <v>994</v>
      </c>
    </row>
    <row r="161" spans="1:3" ht="15.6" x14ac:dyDescent="0.3">
      <c r="A161" s="53" t="s">
        <v>98</v>
      </c>
      <c r="B161" s="53" t="s">
        <v>235</v>
      </c>
      <c r="C161" s="51" t="s">
        <v>995</v>
      </c>
    </row>
    <row r="162" spans="1:3" ht="15.6" x14ac:dyDescent="0.3">
      <c r="A162" s="53" t="s">
        <v>165</v>
      </c>
      <c r="B162" s="53" t="s">
        <v>180</v>
      </c>
      <c r="C162" s="51" t="s">
        <v>996</v>
      </c>
    </row>
    <row r="163" spans="1:3" ht="15.6" x14ac:dyDescent="0.3">
      <c r="A163" s="53" t="s">
        <v>151</v>
      </c>
      <c r="B163" s="53" t="s">
        <v>228</v>
      </c>
      <c r="C163" s="51" t="s">
        <v>997</v>
      </c>
    </row>
    <row r="164" spans="1:3" ht="15.6" x14ac:dyDescent="0.3">
      <c r="A164" s="53" t="s">
        <v>132</v>
      </c>
      <c r="B164" s="53" t="s">
        <v>1349</v>
      </c>
      <c r="C164" s="51" t="s">
        <v>998</v>
      </c>
    </row>
    <row r="165" spans="1:3" ht="15.6" x14ac:dyDescent="0.3">
      <c r="A165" s="53" t="s">
        <v>453</v>
      </c>
      <c r="B165" s="53" t="s">
        <v>454</v>
      </c>
      <c r="C165" s="51" t="s">
        <v>999</v>
      </c>
    </row>
    <row r="166" spans="1:3" ht="15.6" x14ac:dyDescent="0.3">
      <c r="A166" s="53" t="s">
        <v>110</v>
      </c>
      <c r="B166" s="53" t="s">
        <v>222</v>
      </c>
      <c r="C166" s="51" t="s">
        <v>1000</v>
      </c>
    </row>
    <row r="167" spans="1:3" ht="15.6" x14ac:dyDescent="0.3">
      <c r="A167" s="53" t="s">
        <v>119</v>
      </c>
      <c r="B167" s="53" t="s">
        <v>1350</v>
      </c>
      <c r="C167" s="51" t="s">
        <v>1001</v>
      </c>
    </row>
    <row r="168" spans="1:3" ht="15.6" x14ac:dyDescent="0.3">
      <c r="A168" s="53" t="s">
        <v>128</v>
      </c>
      <c r="B168" s="53" t="s">
        <v>267</v>
      </c>
      <c r="C168" s="51" t="s">
        <v>1002</v>
      </c>
    </row>
    <row r="169" spans="1:3" ht="15.6" x14ac:dyDescent="0.3">
      <c r="A169" s="53" t="s">
        <v>546</v>
      </c>
      <c r="B169" s="53" t="s">
        <v>697</v>
      </c>
      <c r="C169" s="51" t="s">
        <v>1003</v>
      </c>
    </row>
    <row r="170" spans="1:3" ht="15.6" x14ac:dyDescent="0.3">
      <c r="A170" s="53" t="s">
        <v>20</v>
      </c>
      <c r="B170" s="53" t="s">
        <v>239</v>
      </c>
      <c r="C170" s="51" t="s">
        <v>1004</v>
      </c>
    </row>
    <row r="171" spans="1:3" ht="15.6" x14ac:dyDescent="0.3">
      <c r="A171" s="53" t="s">
        <v>547</v>
      </c>
      <c r="B171" s="53" t="s">
        <v>698</v>
      </c>
      <c r="C171" s="51" t="s">
        <v>1005</v>
      </c>
    </row>
    <row r="172" spans="1:3" ht="15.6" x14ac:dyDescent="0.3">
      <c r="A172" s="53" t="s">
        <v>89</v>
      </c>
      <c r="B172" s="53" t="s">
        <v>220</v>
      </c>
      <c r="C172" s="51" t="s">
        <v>1006</v>
      </c>
    </row>
    <row r="173" spans="1:3" ht="15.6" x14ac:dyDescent="0.3">
      <c r="A173" s="53" t="s">
        <v>147</v>
      </c>
      <c r="B173" s="53" t="s">
        <v>202</v>
      </c>
      <c r="C173" s="51" t="s">
        <v>1007</v>
      </c>
    </row>
    <row r="174" spans="1:3" ht="15.6" x14ac:dyDescent="0.3">
      <c r="A174" s="53" t="s">
        <v>114</v>
      </c>
      <c r="B174" s="53" t="s">
        <v>225</v>
      </c>
      <c r="C174" s="51" t="s">
        <v>1008</v>
      </c>
    </row>
    <row r="175" spans="1:3" ht="15.6" x14ac:dyDescent="0.3">
      <c r="A175" s="53" t="s">
        <v>116</v>
      </c>
      <c r="B175" s="53" t="s">
        <v>194</v>
      </c>
      <c r="C175" s="51" t="s">
        <v>1009</v>
      </c>
    </row>
    <row r="176" spans="1:3" ht="15.6" x14ac:dyDescent="0.3">
      <c r="A176" s="53" t="s">
        <v>124</v>
      </c>
      <c r="B176" s="53" t="s">
        <v>207</v>
      </c>
      <c r="C176" s="51" t="s">
        <v>1010</v>
      </c>
    </row>
    <row r="177" spans="1:3" ht="15.6" x14ac:dyDescent="0.3">
      <c r="A177" s="53" t="s">
        <v>548</v>
      </c>
      <c r="B177" s="53" t="s">
        <v>699</v>
      </c>
      <c r="C177" s="51" t="s">
        <v>1011</v>
      </c>
    </row>
    <row r="178" spans="1:3" ht="15.6" x14ac:dyDescent="0.3">
      <c r="A178" s="53" t="s">
        <v>108</v>
      </c>
      <c r="B178" s="53" t="s">
        <v>206</v>
      </c>
      <c r="C178" s="51" t="s">
        <v>1012</v>
      </c>
    </row>
    <row r="179" spans="1:3" ht="15.6" x14ac:dyDescent="0.3">
      <c r="A179" s="53" t="s">
        <v>549</v>
      </c>
      <c r="B179" s="53" t="s">
        <v>700</v>
      </c>
      <c r="C179" s="51" t="s">
        <v>1013</v>
      </c>
    </row>
    <row r="180" spans="1:3" ht="15.6" x14ac:dyDescent="0.3">
      <c r="A180" s="53" t="s">
        <v>94</v>
      </c>
      <c r="B180" s="53" t="s">
        <v>1335</v>
      </c>
      <c r="C180" s="51" t="s">
        <v>1014</v>
      </c>
    </row>
    <row r="181" spans="1:3" ht="15.6" x14ac:dyDescent="0.3">
      <c r="A181" s="53" t="s">
        <v>95</v>
      </c>
      <c r="B181" s="53" t="s">
        <v>218</v>
      </c>
      <c r="C181" s="51" t="s">
        <v>1015</v>
      </c>
    </row>
    <row r="182" spans="1:3" ht="15.6" x14ac:dyDescent="0.3">
      <c r="A182" s="53" t="s">
        <v>117</v>
      </c>
      <c r="B182" s="53" t="s">
        <v>213</v>
      </c>
      <c r="C182" s="51" t="s">
        <v>1016</v>
      </c>
    </row>
    <row r="183" spans="1:3" ht="15.6" x14ac:dyDescent="0.3">
      <c r="A183" s="53" t="s">
        <v>461</v>
      </c>
      <c r="B183" s="53" t="s">
        <v>462</v>
      </c>
      <c r="C183" s="51" t="s">
        <v>1017</v>
      </c>
    </row>
    <row r="184" spans="1:3" ht="15.6" x14ac:dyDescent="0.3">
      <c r="A184" s="53" t="s">
        <v>370</v>
      </c>
      <c r="B184" s="53" t="s">
        <v>1323</v>
      </c>
      <c r="C184" s="51" t="s">
        <v>1018</v>
      </c>
    </row>
    <row r="185" spans="1:3" ht="15.6" x14ac:dyDescent="0.3">
      <c r="A185" s="53" t="s">
        <v>150</v>
      </c>
      <c r="B185" s="53" t="s">
        <v>229</v>
      </c>
      <c r="C185" s="51" t="s">
        <v>1019</v>
      </c>
    </row>
    <row r="186" spans="1:3" ht="15.6" x14ac:dyDescent="0.3">
      <c r="A186" s="53" t="s">
        <v>118</v>
      </c>
      <c r="B186" s="53" t="s">
        <v>208</v>
      </c>
      <c r="C186" s="51" t="s">
        <v>1020</v>
      </c>
    </row>
    <row r="187" spans="1:3" ht="15.6" x14ac:dyDescent="0.3">
      <c r="A187" s="53" t="s">
        <v>134</v>
      </c>
      <c r="B187" s="53" t="s">
        <v>243</v>
      </c>
      <c r="C187" s="51" t="s">
        <v>1021</v>
      </c>
    </row>
    <row r="188" spans="1:3" ht="15.6" x14ac:dyDescent="0.3">
      <c r="A188" s="53" t="s">
        <v>550</v>
      </c>
      <c r="B188" s="53" t="s">
        <v>701</v>
      </c>
      <c r="C188" s="51" t="s">
        <v>1022</v>
      </c>
    </row>
    <row r="189" spans="1:3" ht="15.6" x14ac:dyDescent="0.3">
      <c r="A189" s="53" t="s">
        <v>551</v>
      </c>
      <c r="B189" s="53" t="s">
        <v>702</v>
      </c>
      <c r="C189" s="51" t="s">
        <v>1023</v>
      </c>
    </row>
    <row r="190" spans="1:3" ht="15.6" x14ac:dyDescent="0.3">
      <c r="A190" s="53" t="s">
        <v>552</v>
      </c>
      <c r="B190" s="53" t="s">
        <v>1351</v>
      </c>
      <c r="C190" s="51" t="s">
        <v>1024</v>
      </c>
    </row>
    <row r="191" spans="1:3" ht="15.6" x14ac:dyDescent="0.3">
      <c r="A191" s="53" t="s">
        <v>553</v>
      </c>
      <c r="B191" s="53" t="s">
        <v>703</v>
      </c>
      <c r="C191" s="51" t="s">
        <v>1025</v>
      </c>
    </row>
    <row r="192" spans="1:3" ht="15.6" x14ac:dyDescent="0.3">
      <c r="A192" s="53" t="s">
        <v>129</v>
      </c>
      <c r="B192" s="53" t="s">
        <v>310</v>
      </c>
      <c r="C192" s="51" t="s">
        <v>1026</v>
      </c>
    </row>
    <row r="193" spans="1:3" ht="15.6" x14ac:dyDescent="0.3">
      <c r="A193" s="53" t="s">
        <v>97</v>
      </c>
      <c r="B193" s="53" t="s">
        <v>305</v>
      </c>
      <c r="C193" s="51" t="s">
        <v>1027</v>
      </c>
    </row>
    <row r="194" spans="1:3" ht="15.6" x14ac:dyDescent="0.3">
      <c r="A194" s="53" t="s">
        <v>135</v>
      </c>
      <c r="B194" s="53" t="s">
        <v>245</v>
      </c>
      <c r="C194" s="51" t="s">
        <v>1028</v>
      </c>
    </row>
    <row r="195" spans="1:3" ht="15.6" x14ac:dyDescent="0.3">
      <c r="A195" s="53" t="s">
        <v>21</v>
      </c>
      <c r="B195" s="53" t="s">
        <v>230</v>
      </c>
      <c r="C195" s="51" t="s">
        <v>1029</v>
      </c>
    </row>
    <row r="196" spans="1:3" ht="15.6" x14ac:dyDescent="0.3">
      <c r="A196" s="53" t="s">
        <v>93</v>
      </c>
      <c r="B196" s="53" t="s">
        <v>1352</v>
      </c>
      <c r="C196" s="51" t="s">
        <v>1030</v>
      </c>
    </row>
    <row r="197" spans="1:3" ht="15.6" x14ac:dyDescent="0.3">
      <c r="A197" s="53" t="s">
        <v>7</v>
      </c>
      <c r="B197" s="53" t="s">
        <v>224</v>
      </c>
      <c r="C197" s="51" t="s">
        <v>1031</v>
      </c>
    </row>
    <row r="198" spans="1:3" ht="15.6" x14ac:dyDescent="0.3">
      <c r="A198" s="53" t="s">
        <v>166</v>
      </c>
      <c r="B198" s="53" t="s">
        <v>209</v>
      </c>
      <c r="C198" s="51" t="s">
        <v>1032</v>
      </c>
    </row>
    <row r="199" spans="1:3" ht="15.6" x14ac:dyDescent="0.3">
      <c r="A199" s="53" t="s">
        <v>457</v>
      </c>
      <c r="B199" s="53" t="s">
        <v>458</v>
      </c>
      <c r="C199" s="51" t="s">
        <v>1033</v>
      </c>
    </row>
    <row r="200" spans="1:3" ht="15.6" x14ac:dyDescent="0.3">
      <c r="A200" s="53" t="s">
        <v>440</v>
      </c>
      <c r="B200" s="53" t="s">
        <v>441</v>
      </c>
      <c r="C200" s="51" t="s">
        <v>1034</v>
      </c>
    </row>
    <row r="201" spans="1:3" ht="15.6" x14ac:dyDescent="0.3">
      <c r="A201" s="53" t="s">
        <v>26</v>
      </c>
      <c r="B201" s="53" t="s">
        <v>197</v>
      </c>
      <c r="C201" s="51" t="s">
        <v>1035</v>
      </c>
    </row>
    <row r="202" spans="1:3" ht="15.6" x14ac:dyDescent="0.3">
      <c r="A202" s="53" t="s">
        <v>96</v>
      </c>
      <c r="B202" s="53" t="s">
        <v>201</v>
      </c>
      <c r="C202" s="51" t="s">
        <v>1036</v>
      </c>
    </row>
    <row r="203" spans="1:3" ht="15.6" x14ac:dyDescent="0.3">
      <c r="A203" s="53" t="s">
        <v>100</v>
      </c>
      <c r="B203" s="53" t="s">
        <v>227</v>
      </c>
      <c r="C203" s="51" t="s">
        <v>1037</v>
      </c>
    </row>
    <row r="204" spans="1:3" ht="15.6" x14ac:dyDescent="0.3">
      <c r="A204" s="53" t="s">
        <v>306</v>
      </c>
      <c r="B204" s="53" t="s">
        <v>200</v>
      </c>
      <c r="C204" s="51" t="s">
        <v>1038</v>
      </c>
    </row>
    <row r="205" spans="1:3" ht="15.6" x14ac:dyDescent="0.3">
      <c r="A205" s="53" t="s">
        <v>377</v>
      </c>
      <c r="B205" s="53" t="s">
        <v>378</v>
      </c>
      <c r="C205" s="51" t="s">
        <v>1039</v>
      </c>
    </row>
    <row r="206" spans="1:3" ht="15.6" x14ac:dyDescent="0.3">
      <c r="A206" s="53" t="s">
        <v>125</v>
      </c>
      <c r="B206" s="53" t="s">
        <v>189</v>
      </c>
      <c r="C206" s="51" t="s">
        <v>1040</v>
      </c>
    </row>
    <row r="207" spans="1:3" ht="15.6" x14ac:dyDescent="0.3">
      <c r="A207" s="53" t="s">
        <v>315</v>
      </c>
      <c r="B207" s="53" t="s">
        <v>240</v>
      </c>
      <c r="C207" s="51" t="s">
        <v>1041</v>
      </c>
    </row>
    <row r="208" spans="1:3" ht="15.6" x14ac:dyDescent="0.3">
      <c r="A208" s="53" t="s">
        <v>427</v>
      </c>
      <c r="B208" s="53" t="s">
        <v>260</v>
      </c>
      <c r="C208" s="51" t="s">
        <v>1042</v>
      </c>
    </row>
    <row r="209" spans="1:3" ht="15.6" x14ac:dyDescent="0.3">
      <c r="A209" s="53" t="s">
        <v>307</v>
      </c>
      <c r="B209" s="53" t="s">
        <v>214</v>
      </c>
      <c r="C209" s="51" t="s">
        <v>1043</v>
      </c>
    </row>
    <row r="210" spans="1:3" ht="15.6" x14ac:dyDescent="0.3">
      <c r="A210" s="53" t="s">
        <v>415</v>
      </c>
      <c r="B210" s="53" t="s">
        <v>416</v>
      </c>
      <c r="C210" s="51" t="s">
        <v>1044</v>
      </c>
    </row>
    <row r="211" spans="1:3" ht="15.6" x14ac:dyDescent="0.3">
      <c r="A211" s="53" t="s">
        <v>554</v>
      </c>
      <c r="B211" s="53" t="s">
        <v>704</v>
      </c>
      <c r="C211" s="51" t="e">
        <v>#N/A</v>
      </c>
    </row>
    <row r="212" spans="1:3" ht="15.6" x14ac:dyDescent="0.3">
      <c r="A212" s="53" t="s">
        <v>555</v>
      </c>
      <c r="B212" s="53" t="s">
        <v>705</v>
      </c>
      <c r="C212" s="51" t="s">
        <v>1045</v>
      </c>
    </row>
    <row r="213" spans="1:3" ht="15.6" x14ac:dyDescent="0.3">
      <c r="A213" s="53" t="s">
        <v>153</v>
      </c>
      <c r="B213" s="53" t="s">
        <v>203</v>
      </c>
      <c r="C213" s="51" t="s">
        <v>1046</v>
      </c>
    </row>
    <row r="214" spans="1:3" ht="15.6" x14ac:dyDescent="0.3">
      <c r="A214" s="53" t="s">
        <v>1353</v>
      </c>
      <c r="B214" s="53" t="s">
        <v>1354</v>
      </c>
      <c r="C214" s="51" t="e">
        <v>#N/A</v>
      </c>
    </row>
    <row r="215" spans="1:3" ht="15.6" x14ac:dyDescent="0.3">
      <c r="A215" s="53" t="s">
        <v>299</v>
      </c>
      <c r="B215" s="53" t="s">
        <v>262</v>
      </c>
      <c r="C215" s="51" t="s">
        <v>1047</v>
      </c>
    </row>
    <row r="216" spans="1:3" ht="15.6" x14ac:dyDescent="0.3">
      <c r="A216" s="53" t="s">
        <v>556</v>
      </c>
      <c r="B216" s="53" t="s">
        <v>706</v>
      </c>
      <c r="C216" s="51" t="s">
        <v>1048</v>
      </c>
    </row>
    <row r="217" spans="1:3" ht="15.6" x14ac:dyDescent="0.3">
      <c r="A217" s="53" t="s">
        <v>122</v>
      </c>
      <c r="B217" s="53" t="s">
        <v>195</v>
      </c>
      <c r="C217" s="51" t="s">
        <v>1049</v>
      </c>
    </row>
    <row r="218" spans="1:3" ht="15.6" x14ac:dyDescent="0.3">
      <c r="A218" s="53" t="s">
        <v>418</v>
      </c>
      <c r="B218" s="53" t="s">
        <v>419</v>
      </c>
      <c r="C218" s="51" t="s">
        <v>1050</v>
      </c>
    </row>
    <row r="219" spans="1:3" ht="15.6" x14ac:dyDescent="0.3">
      <c r="A219" s="53" t="s">
        <v>112</v>
      </c>
      <c r="B219" s="53" t="s">
        <v>223</v>
      </c>
      <c r="C219" s="51" t="s">
        <v>1051</v>
      </c>
    </row>
    <row r="220" spans="1:3" ht="15.6" x14ac:dyDescent="0.3">
      <c r="A220" s="53" t="s">
        <v>113</v>
      </c>
      <c r="B220" s="53" t="s">
        <v>221</v>
      </c>
      <c r="C220" s="51" t="s">
        <v>1052</v>
      </c>
    </row>
    <row r="221" spans="1:3" ht="15.6" x14ac:dyDescent="0.3">
      <c r="A221" s="53" t="s">
        <v>111</v>
      </c>
      <c r="B221" s="53" t="s">
        <v>191</v>
      </c>
      <c r="C221" s="51" t="s">
        <v>1053</v>
      </c>
    </row>
    <row r="222" spans="1:3" ht="15.6" x14ac:dyDescent="0.3">
      <c r="A222" s="53" t="s">
        <v>139</v>
      </c>
      <c r="B222" s="53" t="s">
        <v>193</v>
      </c>
      <c r="C222" s="51" t="s">
        <v>1054</v>
      </c>
    </row>
    <row r="223" spans="1:3" ht="15.6" x14ac:dyDescent="0.3">
      <c r="A223" s="53" t="s">
        <v>557</v>
      </c>
      <c r="B223" s="53" t="s">
        <v>707</v>
      </c>
      <c r="C223" s="51" t="s">
        <v>1055</v>
      </c>
    </row>
    <row r="224" spans="1:3" ht="15.6" x14ac:dyDescent="0.3">
      <c r="A224" s="53" t="s">
        <v>308</v>
      </c>
      <c r="B224" s="53" t="s">
        <v>199</v>
      </c>
      <c r="C224" s="51" t="s">
        <v>1056</v>
      </c>
    </row>
    <row r="225" spans="1:3" ht="15.6" x14ac:dyDescent="0.3">
      <c r="A225" s="53" t="s">
        <v>290</v>
      </c>
      <c r="B225" s="53" t="s">
        <v>196</v>
      </c>
      <c r="C225" s="51" t="s">
        <v>1057</v>
      </c>
    </row>
    <row r="226" spans="1:3" ht="15.6" x14ac:dyDescent="0.3">
      <c r="A226" s="53" t="s">
        <v>126</v>
      </c>
      <c r="B226" s="53" t="s">
        <v>232</v>
      </c>
      <c r="C226" s="51" t="s">
        <v>1058</v>
      </c>
    </row>
    <row r="227" spans="1:3" ht="15.6" x14ac:dyDescent="0.3">
      <c r="A227" s="53" t="s">
        <v>558</v>
      </c>
      <c r="B227" s="53" t="s">
        <v>708</v>
      </c>
      <c r="C227" s="51" t="s">
        <v>1059</v>
      </c>
    </row>
    <row r="228" spans="1:3" ht="15.6" x14ac:dyDescent="0.3">
      <c r="A228" s="53" t="s">
        <v>411</v>
      </c>
      <c r="B228" s="53" t="s">
        <v>412</v>
      </c>
      <c r="C228" s="51" t="s">
        <v>1060</v>
      </c>
    </row>
    <row r="229" spans="1:3" ht="15.6" x14ac:dyDescent="0.3">
      <c r="A229" s="53" t="s">
        <v>559</v>
      </c>
      <c r="B229" s="53" t="s">
        <v>709</v>
      </c>
      <c r="C229" s="51" t="s">
        <v>1061</v>
      </c>
    </row>
    <row r="230" spans="1:3" ht="15.6" x14ac:dyDescent="0.3">
      <c r="A230" s="53" t="s">
        <v>560</v>
      </c>
      <c r="B230" s="53" t="s">
        <v>710</v>
      </c>
      <c r="C230" s="51" t="s">
        <v>1062</v>
      </c>
    </row>
    <row r="231" spans="1:3" ht="15.6" x14ac:dyDescent="0.3">
      <c r="A231" s="53" t="s">
        <v>309</v>
      </c>
      <c r="B231" s="53" t="s">
        <v>234</v>
      </c>
      <c r="C231" s="51" t="s">
        <v>1063</v>
      </c>
    </row>
    <row r="232" spans="1:3" ht="15.6" x14ac:dyDescent="0.3">
      <c r="A232" s="53" t="s">
        <v>561</v>
      </c>
      <c r="B232" s="53" t="s">
        <v>711</v>
      </c>
      <c r="C232" s="51" t="s">
        <v>1064</v>
      </c>
    </row>
    <row r="233" spans="1:3" ht="15.6" x14ac:dyDescent="0.3">
      <c r="A233" s="53" t="s">
        <v>302</v>
      </c>
      <c r="B233" s="53" t="s">
        <v>212</v>
      </c>
      <c r="C233" s="51" t="s">
        <v>1065</v>
      </c>
    </row>
    <row r="234" spans="1:3" ht="15.6" x14ac:dyDescent="0.3">
      <c r="A234" s="53" t="s">
        <v>121</v>
      </c>
      <c r="B234" s="53" t="s">
        <v>211</v>
      </c>
      <c r="C234" s="51" t="s">
        <v>1066</v>
      </c>
    </row>
    <row r="235" spans="1:3" ht="15.6" x14ac:dyDescent="0.3">
      <c r="A235" s="53" t="s">
        <v>120</v>
      </c>
      <c r="B235" s="53" t="s">
        <v>219</v>
      </c>
      <c r="C235" s="51" t="s">
        <v>1067</v>
      </c>
    </row>
    <row r="236" spans="1:3" ht="15.6" x14ac:dyDescent="0.3">
      <c r="A236" s="53" t="s">
        <v>409</v>
      </c>
      <c r="B236" s="53" t="s">
        <v>410</v>
      </c>
      <c r="C236" s="51" t="s">
        <v>1068</v>
      </c>
    </row>
    <row r="237" spans="1:3" ht="15.6" x14ac:dyDescent="0.3">
      <c r="A237" s="53" t="s">
        <v>562</v>
      </c>
      <c r="B237" s="53" t="s">
        <v>712</v>
      </c>
      <c r="C237" s="51" t="s">
        <v>1069</v>
      </c>
    </row>
    <row r="238" spans="1:3" ht="15.6" x14ac:dyDescent="0.3">
      <c r="A238" s="53" t="s">
        <v>563</v>
      </c>
      <c r="B238" s="53" t="s">
        <v>713</v>
      </c>
      <c r="C238" s="51" t="s">
        <v>1070</v>
      </c>
    </row>
    <row r="239" spans="1:3" ht="15.6" x14ac:dyDescent="0.3">
      <c r="A239" s="53" t="s">
        <v>564</v>
      </c>
      <c r="B239" s="53" t="s">
        <v>714</v>
      </c>
      <c r="C239" s="51" t="s">
        <v>1071</v>
      </c>
    </row>
    <row r="240" spans="1:3" ht="15.6" x14ac:dyDescent="0.3">
      <c r="A240" s="53" t="s">
        <v>565</v>
      </c>
      <c r="B240" s="53" t="s">
        <v>715</v>
      </c>
      <c r="C240" s="51" t="s">
        <v>1072</v>
      </c>
    </row>
    <row r="241" spans="1:3" ht="15.6" x14ac:dyDescent="0.3">
      <c r="A241" s="53" t="s">
        <v>167</v>
      </c>
      <c r="B241" s="53" t="s">
        <v>233</v>
      </c>
      <c r="C241" s="51" t="s">
        <v>1073</v>
      </c>
    </row>
    <row r="242" spans="1:3" ht="15.6" x14ac:dyDescent="0.3">
      <c r="A242" s="53" t="s">
        <v>322</v>
      </c>
      <c r="B242" s="53" t="s">
        <v>323</v>
      </c>
      <c r="C242" s="51" t="s">
        <v>1074</v>
      </c>
    </row>
    <row r="243" spans="1:3" ht="15.6" x14ac:dyDescent="0.3">
      <c r="A243" s="53" t="s">
        <v>566</v>
      </c>
      <c r="B243" s="53" t="s">
        <v>716</v>
      </c>
      <c r="C243" s="51" t="s">
        <v>1075</v>
      </c>
    </row>
    <row r="244" spans="1:3" ht="15.6" x14ac:dyDescent="0.3">
      <c r="A244" s="53" t="s">
        <v>567</v>
      </c>
      <c r="B244" s="53" t="s">
        <v>717</v>
      </c>
      <c r="C244" s="51" t="e">
        <v>#N/A</v>
      </c>
    </row>
    <row r="245" spans="1:3" ht="15.6" x14ac:dyDescent="0.3">
      <c r="A245" s="53" t="s">
        <v>384</v>
      </c>
      <c r="B245" s="53" t="s">
        <v>385</v>
      </c>
      <c r="C245" s="51" t="s">
        <v>1076</v>
      </c>
    </row>
    <row r="246" spans="1:3" ht="15.6" x14ac:dyDescent="0.3">
      <c r="A246" s="53" t="s">
        <v>568</v>
      </c>
      <c r="B246" s="53" t="s">
        <v>718</v>
      </c>
      <c r="C246" s="51" t="s">
        <v>1077</v>
      </c>
    </row>
    <row r="247" spans="1:3" ht="15.6" x14ac:dyDescent="0.3">
      <c r="A247" s="53" t="s">
        <v>569</v>
      </c>
      <c r="B247" s="53" t="s">
        <v>719</v>
      </c>
      <c r="C247" s="51" t="s">
        <v>1078</v>
      </c>
    </row>
    <row r="248" spans="1:3" ht="15.6" x14ac:dyDescent="0.3">
      <c r="A248" s="53" t="s">
        <v>362</v>
      </c>
      <c r="B248" s="53" t="s">
        <v>363</v>
      </c>
      <c r="C248" s="51" t="s">
        <v>1079</v>
      </c>
    </row>
    <row r="249" spans="1:3" ht="15.6" x14ac:dyDescent="0.3">
      <c r="A249" s="53" t="s">
        <v>570</v>
      </c>
      <c r="B249" s="53" t="s">
        <v>720</v>
      </c>
      <c r="C249" s="51" t="s">
        <v>1080</v>
      </c>
    </row>
    <row r="250" spans="1:3" ht="15.6" x14ac:dyDescent="0.3">
      <c r="A250" s="53" t="s">
        <v>571</v>
      </c>
      <c r="B250" s="53" t="s">
        <v>721</v>
      </c>
      <c r="C250" s="51" t="s">
        <v>1081</v>
      </c>
    </row>
    <row r="251" spans="1:3" ht="15.6" x14ac:dyDescent="0.3">
      <c r="A251" s="53" t="s">
        <v>168</v>
      </c>
      <c r="B251" s="53" t="s">
        <v>1355</v>
      </c>
      <c r="C251" s="51" t="s">
        <v>1082</v>
      </c>
    </row>
    <row r="252" spans="1:3" ht="15.6" x14ac:dyDescent="0.3">
      <c r="A252" s="53" t="s">
        <v>572</v>
      </c>
      <c r="B252" s="53" t="s">
        <v>722</v>
      </c>
      <c r="C252" s="51" t="s">
        <v>1083</v>
      </c>
    </row>
    <row r="253" spans="1:3" ht="15.6" x14ac:dyDescent="0.3">
      <c r="A253" s="53" t="s">
        <v>169</v>
      </c>
      <c r="B253" s="53" t="s">
        <v>188</v>
      </c>
      <c r="C253" s="51" t="s">
        <v>1084</v>
      </c>
    </row>
    <row r="254" spans="1:3" ht="15.6" x14ac:dyDescent="0.3">
      <c r="A254" s="53" t="s">
        <v>573</v>
      </c>
      <c r="B254" s="53" t="s">
        <v>723</v>
      </c>
      <c r="C254" s="51" t="s">
        <v>1085</v>
      </c>
    </row>
    <row r="255" spans="1:3" ht="15.6" x14ac:dyDescent="0.3">
      <c r="A255" s="53" t="s">
        <v>574</v>
      </c>
      <c r="B255" s="53" t="s">
        <v>724</v>
      </c>
      <c r="C255" s="51" t="s">
        <v>1086</v>
      </c>
    </row>
    <row r="256" spans="1:3" ht="15.6" x14ac:dyDescent="0.3">
      <c r="A256" s="53" t="s">
        <v>575</v>
      </c>
      <c r="B256" s="53" t="s">
        <v>725</v>
      </c>
      <c r="C256" s="51" t="s">
        <v>1087</v>
      </c>
    </row>
    <row r="257" spans="1:3" ht="15.6" x14ac:dyDescent="0.3">
      <c r="A257" s="53" t="s">
        <v>576</v>
      </c>
      <c r="B257" s="53" t="s">
        <v>726</v>
      </c>
      <c r="C257" s="51" t="s">
        <v>1088</v>
      </c>
    </row>
    <row r="258" spans="1:3" ht="15.6" x14ac:dyDescent="0.3">
      <c r="A258" s="53" t="s">
        <v>577</v>
      </c>
      <c r="B258" s="53" t="s">
        <v>727</v>
      </c>
      <c r="C258" s="51" t="s">
        <v>1356</v>
      </c>
    </row>
    <row r="259" spans="1:3" ht="15.6" x14ac:dyDescent="0.3">
      <c r="A259" s="53" t="s">
        <v>170</v>
      </c>
      <c r="B259" s="53" t="s">
        <v>261</v>
      </c>
      <c r="C259" s="51" t="s">
        <v>1089</v>
      </c>
    </row>
    <row r="260" spans="1:3" ht="15.6" x14ac:dyDescent="0.3">
      <c r="A260" s="53" t="s">
        <v>171</v>
      </c>
      <c r="B260" s="53" t="s">
        <v>216</v>
      </c>
      <c r="C260" s="51" t="s">
        <v>1090</v>
      </c>
    </row>
    <row r="261" spans="1:3" ht="15.6" x14ac:dyDescent="0.3">
      <c r="A261" s="53" t="s">
        <v>398</v>
      </c>
      <c r="B261" s="53" t="s">
        <v>399</v>
      </c>
      <c r="C261" s="51" t="s">
        <v>1091</v>
      </c>
    </row>
    <row r="262" spans="1:3" ht="15.6" x14ac:dyDescent="0.3">
      <c r="A262" s="53" t="s">
        <v>148</v>
      </c>
      <c r="B262" s="53" t="s">
        <v>190</v>
      </c>
      <c r="C262" s="51" t="s">
        <v>1092</v>
      </c>
    </row>
    <row r="263" spans="1:3" ht="15.6" x14ac:dyDescent="0.3">
      <c r="A263" s="53" t="s">
        <v>403</v>
      </c>
      <c r="B263" s="53" t="s">
        <v>404</v>
      </c>
      <c r="C263" s="51" t="s">
        <v>1093</v>
      </c>
    </row>
    <row r="264" spans="1:3" ht="15.6" x14ac:dyDescent="0.3">
      <c r="A264" s="53" t="s">
        <v>172</v>
      </c>
      <c r="B264" s="53" t="s">
        <v>185</v>
      </c>
      <c r="C264" s="51" t="s">
        <v>1094</v>
      </c>
    </row>
    <row r="265" spans="1:3" ht="15.6" x14ac:dyDescent="0.3">
      <c r="A265" s="53" t="s">
        <v>141</v>
      </c>
      <c r="B265" s="53" t="s">
        <v>729</v>
      </c>
      <c r="C265" s="51" t="s">
        <v>1095</v>
      </c>
    </row>
    <row r="266" spans="1:3" ht="15.6" x14ac:dyDescent="0.3">
      <c r="A266" s="53" t="s">
        <v>293</v>
      </c>
      <c r="B266" s="53" t="s">
        <v>186</v>
      </c>
      <c r="C266" s="51" t="s">
        <v>1096</v>
      </c>
    </row>
    <row r="267" spans="1:3" ht="15.6" x14ac:dyDescent="0.3">
      <c r="A267" s="53" t="s">
        <v>173</v>
      </c>
      <c r="B267" s="53" t="s">
        <v>285</v>
      </c>
      <c r="C267" s="51" t="e">
        <v>#N/A</v>
      </c>
    </row>
    <row r="268" spans="1:3" ht="15.6" x14ac:dyDescent="0.3">
      <c r="A268" s="53" t="s">
        <v>145</v>
      </c>
      <c r="B268" s="53" t="s">
        <v>181</v>
      </c>
      <c r="C268" s="51" t="s">
        <v>1097</v>
      </c>
    </row>
    <row r="269" spans="1:3" ht="15.6" x14ac:dyDescent="0.3">
      <c r="A269" s="53" t="s">
        <v>294</v>
      </c>
      <c r="B269" s="53" t="s">
        <v>295</v>
      </c>
      <c r="C269" s="51" t="s">
        <v>1098</v>
      </c>
    </row>
    <row r="270" spans="1:3" ht="15.6" x14ac:dyDescent="0.3">
      <c r="A270" s="53" t="s">
        <v>144</v>
      </c>
      <c r="B270" s="53" t="s">
        <v>296</v>
      </c>
      <c r="C270" s="51" t="s">
        <v>1099</v>
      </c>
    </row>
    <row r="271" spans="1:3" ht="15.6" x14ac:dyDescent="0.3">
      <c r="A271" s="53" t="s">
        <v>578</v>
      </c>
      <c r="B271" s="53" t="s">
        <v>730</v>
      </c>
      <c r="C271" s="51" t="s">
        <v>1100</v>
      </c>
    </row>
    <row r="272" spans="1:3" ht="15.6" x14ac:dyDescent="0.3">
      <c r="A272" s="53" t="s">
        <v>174</v>
      </c>
      <c r="B272" s="53" t="s">
        <v>205</v>
      </c>
      <c r="C272" s="51" t="s">
        <v>1101</v>
      </c>
    </row>
    <row r="273" spans="1:3" ht="15.6" x14ac:dyDescent="0.3">
      <c r="A273" s="53" t="s">
        <v>579</v>
      </c>
      <c r="B273" s="53" t="s">
        <v>731</v>
      </c>
      <c r="C273" s="51" t="e">
        <v>#N/A</v>
      </c>
    </row>
    <row r="274" spans="1:3" ht="15.6" x14ac:dyDescent="0.3">
      <c r="A274" s="53" t="s">
        <v>382</v>
      </c>
      <c r="B274" s="53" t="s">
        <v>383</v>
      </c>
      <c r="C274" s="51" t="s">
        <v>1102</v>
      </c>
    </row>
    <row r="275" spans="1:3" ht="15.6" x14ac:dyDescent="0.3">
      <c r="A275" s="53" t="s">
        <v>138</v>
      </c>
      <c r="B275" s="53" t="s">
        <v>182</v>
      </c>
      <c r="C275" s="51" t="s">
        <v>1103</v>
      </c>
    </row>
    <row r="276" spans="1:3" ht="15.6" x14ac:dyDescent="0.3">
      <c r="A276" s="53" t="s">
        <v>580</v>
      </c>
      <c r="B276" s="53" t="s">
        <v>732</v>
      </c>
      <c r="C276" s="51" t="s">
        <v>1104</v>
      </c>
    </row>
    <row r="277" spans="1:3" ht="15.6" x14ac:dyDescent="0.3">
      <c r="A277" s="53" t="s">
        <v>175</v>
      </c>
      <c r="B277" s="53" t="s">
        <v>192</v>
      </c>
      <c r="C277" s="51" t="s">
        <v>1105</v>
      </c>
    </row>
    <row r="278" spans="1:3" ht="15.6" x14ac:dyDescent="0.3">
      <c r="A278" s="53" t="s">
        <v>581</v>
      </c>
      <c r="B278" s="53" t="s">
        <v>733</v>
      </c>
      <c r="C278" s="51" t="s">
        <v>1106</v>
      </c>
    </row>
    <row r="279" spans="1:3" ht="15.6" x14ac:dyDescent="0.3">
      <c r="A279" s="53" t="s">
        <v>582</v>
      </c>
      <c r="B279" s="53" t="s">
        <v>734</v>
      </c>
      <c r="C279" s="51" t="s">
        <v>1107</v>
      </c>
    </row>
    <row r="280" spans="1:3" ht="15.6" x14ac:dyDescent="0.3">
      <c r="A280" s="53" t="s">
        <v>583</v>
      </c>
      <c r="B280" s="53" t="s">
        <v>735</v>
      </c>
      <c r="C280" s="51" t="s">
        <v>1108</v>
      </c>
    </row>
    <row r="281" spans="1:3" ht="15.6" x14ac:dyDescent="0.3">
      <c r="A281" s="53" t="s">
        <v>584</v>
      </c>
      <c r="B281" s="53" t="s">
        <v>736</v>
      </c>
      <c r="C281" s="51" t="s">
        <v>1109</v>
      </c>
    </row>
    <row r="282" spans="1:3" ht="15.6" x14ac:dyDescent="0.3">
      <c r="A282" s="53" t="s">
        <v>585</v>
      </c>
      <c r="B282" s="53" t="s">
        <v>737</v>
      </c>
      <c r="C282" s="51" t="s">
        <v>1110</v>
      </c>
    </row>
    <row r="283" spans="1:3" ht="15.6" x14ac:dyDescent="0.3">
      <c r="A283" s="53" t="s">
        <v>586</v>
      </c>
      <c r="B283" s="53" t="s">
        <v>738</v>
      </c>
      <c r="C283" s="51" t="s">
        <v>1111</v>
      </c>
    </row>
    <row r="284" spans="1:3" ht="15.6" x14ac:dyDescent="0.3">
      <c r="A284" s="53" t="s">
        <v>587</v>
      </c>
      <c r="B284" s="53" t="s">
        <v>739</v>
      </c>
      <c r="C284" s="51" t="s">
        <v>1112</v>
      </c>
    </row>
    <row r="285" spans="1:3" ht="15.6" x14ac:dyDescent="0.3">
      <c r="A285" s="53" t="s">
        <v>588</v>
      </c>
      <c r="B285" s="53" t="s">
        <v>740</v>
      </c>
      <c r="C285" s="51" t="s">
        <v>1113</v>
      </c>
    </row>
    <row r="286" spans="1:3" ht="15.6" x14ac:dyDescent="0.3">
      <c r="A286" s="53" t="s">
        <v>589</v>
      </c>
      <c r="B286" s="53" t="s">
        <v>741</v>
      </c>
      <c r="C286" s="51" t="s">
        <v>1114</v>
      </c>
    </row>
    <row r="287" spans="1:3" ht="15.6" x14ac:dyDescent="0.3">
      <c r="A287" s="53" t="s">
        <v>140</v>
      </c>
      <c r="B287" s="53" t="s">
        <v>241</v>
      </c>
      <c r="C287" s="51" t="s">
        <v>1115</v>
      </c>
    </row>
    <row r="288" spans="1:3" ht="15.6" x14ac:dyDescent="0.3">
      <c r="A288" s="53" t="s">
        <v>152</v>
      </c>
      <c r="B288" s="53" t="s">
        <v>204</v>
      </c>
      <c r="C288" s="51" t="s">
        <v>1116</v>
      </c>
    </row>
    <row r="289" spans="1:3" ht="15.6" x14ac:dyDescent="0.3">
      <c r="A289" s="53" t="s">
        <v>590</v>
      </c>
      <c r="B289" s="53" t="s">
        <v>742</v>
      </c>
      <c r="C289" s="51" t="s">
        <v>1117</v>
      </c>
    </row>
    <row r="290" spans="1:3" ht="15.6" x14ac:dyDescent="0.3">
      <c r="A290" s="53" t="s">
        <v>591</v>
      </c>
      <c r="B290" s="53" t="s">
        <v>743</v>
      </c>
      <c r="C290" s="51" t="s">
        <v>1118</v>
      </c>
    </row>
    <row r="291" spans="1:3" ht="15.6" x14ac:dyDescent="0.3">
      <c r="A291" s="53" t="s">
        <v>154</v>
      </c>
      <c r="B291" s="53" t="s">
        <v>246</v>
      </c>
      <c r="C291" s="51" t="s">
        <v>1119</v>
      </c>
    </row>
    <row r="292" spans="1:3" ht="15.6" x14ac:dyDescent="0.3">
      <c r="A292" s="53" t="s">
        <v>278</v>
      </c>
      <c r="B292" s="53" t="s">
        <v>183</v>
      </c>
      <c r="C292" s="51" t="s">
        <v>1120</v>
      </c>
    </row>
    <row r="293" spans="1:3" ht="15.6" x14ac:dyDescent="0.3">
      <c r="A293" s="53" t="s">
        <v>146</v>
      </c>
      <c r="B293" s="53" t="s">
        <v>187</v>
      </c>
      <c r="C293" s="51" t="s">
        <v>1121</v>
      </c>
    </row>
    <row r="294" spans="1:3" ht="15.6" x14ac:dyDescent="0.3">
      <c r="A294" s="53" t="s">
        <v>142</v>
      </c>
      <c r="B294" s="53" t="s">
        <v>265</v>
      </c>
      <c r="C294" s="51" t="s">
        <v>1122</v>
      </c>
    </row>
    <row r="295" spans="1:3" ht="15.6" x14ac:dyDescent="0.3">
      <c r="A295" s="53" t="s">
        <v>396</v>
      </c>
      <c r="B295" s="53" t="s">
        <v>397</v>
      </c>
      <c r="C295" s="51" t="s">
        <v>1123</v>
      </c>
    </row>
    <row r="296" spans="1:3" ht="15.6" x14ac:dyDescent="0.3">
      <c r="A296" s="53" t="s">
        <v>366</v>
      </c>
      <c r="B296" s="53" t="s">
        <v>367</v>
      </c>
      <c r="C296" s="51" t="s">
        <v>1124</v>
      </c>
    </row>
    <row r="297" spans="1:3" ht="15.6" x14ac:dyDescent="0.3">
      <c r="A297" s="53" t="s">
        <v>592</v>
      </c>
      <c r="B297" s="53" t="s">
        <v>744</v>
      </c>
      <c r="C297" s="51" t="e">
        <v>#N/A</v>
      </c>
    </row>
    <row r="298" spans="1:3" ht="15.6" x14ac:dyDescent="0.3">
      <c r="A298" s="53" t="s">
        <v>593</v>
      </c>
      <c r="B298" s="53" t="s">
        <v>745</v>
      </c>
      <c r="C298" s="51" t="e">
        <v>#N/A</v>
      </c>
    </row>
    <row r="299" spans="1:3" ht="15.6" x14ac:dyDescent="0.3">
      <c r="A299" s="53" t="s">
        <v>176</v>
      </c>
      <c r="B299" s="53" t="s">
        <v>266</v>
      </c>
      <c r="C299" s="51" t="s">
        <v>1125</v>
      </c>
    </row>
    <row r="300" spans="1:3" ht="15.6" x14ac:dyDescent="0.3">
      <c r="A300" s="53" t="s">
        <v>594</v>
      </c>
      <c r="B300" s="53" t="s">
        <v>746</v>
      </c>
      <c r="C300" s="51" t="e">
        <v>#N/A</v>
      </c>
    </row>
    <row r="301" spans="1:3" ht="15.6" x14ac:dyDescent="0.3">
      <c r="A301" s="53" t="s">
        <v>286</v>
      </c>
      <c r="B301" s="53" t="s">
        <v>287</v>
      </c>
      <c r="C301" s="51" t="s">
        <v>1126</v>
      </c>
    </row>
    <row r="302" spans="1:3" ht="15.6" x14ac:dyDescent="0.3">
      <c r="A302" s="53" t="s">
        <v>595</v>
      </c>
      <c r="B302" s="53" t="s">
        <v>747</v>
      </c>
      <c r="C302" s="51" t="e">
        <v>#N/A</v>
      </c>
    </row>
    <row r="303" spans="1:3" ht="15.6" x14ac:dyDescent="0.3">
      <c r="A303" s="53" t="s">
        <v>281</v>
      </c>
      <c r="B303" s="53" t="s">
        <v>282</v>
      </c>
      <c r="C303" s="51" t="s">
        <v>1127</v>
      </c>
    </row>
    <row r="304" spans="1:3" ht="15.6" x14ac:dyDescent="0.3">
      <c r="A304" s="53" t="s">
        <v>297</v>
      </c>
      <c r="B304" s="53" t="s">
        <v>298</v>
      </c>
      <c r="C304" s="51" t="s">
        <v>1128</v>
      </c>
    </row>
    <row r="305" spans="1:3" ht="15.6" x14ac:dyDescent="0.3">
      <c r="A305" s="53" t="s">
        <v>279</v>
      </c>
      <c r="B305" s="53" t="s">
        <v>280</v>
      </c>
      <c r="C305" s="51" t="s">
        <v>1129</v>
      </c>
    </row>
    <row r="306" spans="1:3" ht="15.6" x14ac:dyDescent="0.3">
      <c r="A306" s="53" t="s">
        <v>375</v>
      </c>
      <c r="B306" s="53" t="s">
        <v>376</v>
      </c>
      <c r="C306" s="51" t="s">
        <v>1130</v>
      </c>
    </row>
    <row r="307" spans="1:3" ht="15.6" x14ac:dyDescent="0.3">
      <c r="A307" s="53" t="s">
        <v>596</v>
      </c>
      <c r="B307" s="53" t="s">
        <v>748</v>
      </c>
      <c r="C307" s="51" t="s">
        <v>1131</v>
      </c>
    </row>
    <row r="308" spans="1:3" ht="15.6" x14ac:dyDescent="0.3">
      <c r="A308" s="53" t="s">
        <v>291</v>
      </c>
      <c r="B308" s="53" t="s">
        <v>292</v>
      </c>
      <c r="C308" s="51" t="s">
        <v>1132</v>
      </c>
    </row>
    <row r="309" spans="1:3" ht="15.6" x14ac:dyDescent="0.3">
      <c r="A309" s="53" t="s">
        <v>597</v>
      </c>
      <c r="B309" s="53" t="s">
        <v>749</v>
      </c>
      <c r="C309" s="51" t="s">
        <v>1133</v>
      </c>
    </row>
    <row r="310" spans="1:3" ht="15.6" x14ac:dyDescent="0.3">
      <c r="A310" s="53" t="s">
        <v>598</v>
      </c>
      <c r="B310" s="53" t="s">
        <v>750</v>
      </c>
      <c r="C310" s="51" t="e">
        <v>#N/A</v>
      </c>
    </row>
    <row r="311" spans="1:3" ht="15.6" x14ac:dyDescent="0.3">
      <c r="A311" s="53" t="s">
        <v>311</v>
      </c>
      <c r="B311" s="53" t="s">
        <v>312</v>
      </c>
      <c r="C311" s="51" t="s">
        <v>1134</v>
      </c>
    </row>
    <row r="312" spans="1:3" ht="15.6" x14ac:dyDescent="0.3">
      <c r="A312" s="53" t="s">
        <v>391</v>
      </c>
      <c r="B312" s="53" t="s">
        <v>392</v>
      </c>
      <c r="C312" s="51" t="s">
        <v>1135</v>
      </c>
    </row>
    <row r="313" spans="1:3" ht="15.6" x14ac:dyDescent="0.3">
      <c r="A313" s="53" t="s">
        <v>313</v>
      </c>
      <c r="B313" s="53" t="s">
        <v>314</v>
      </c>
      <c r="C313" s="51" t="s">
        <v>1136</v>
      </c>
    </row>
    <row r="314" spans="1:3" ht="15.6" x14ac:dyDescent="0.3">
      <c r="A314" s="53" t="s">
        <v>316</v>
      </c>
      <c r="B314" s="53" t="s">
        <v>317</v>
      </c>
      <c r="C314" s="51" t="s">
        <v>1137</v>
      </c>
    </row>
    <row r="315" spans="1:3" ht="15.6" x14ac:dyDescent="0.3">
      <c r="A315" s="53" t="s">
        <v>268</v>
      </c>
      <c r="B315" s="53" t="s">
        <v>269</v>
      </c>
      <c r="C315" s="51" t="s">
        <v>1138</v>
      </c>
    </row>
    <row r="316" spans="1:3" ht="15.6" x14ac:dyDescent="0.3">
      <c r="A316" s="53" t="s">
        <v>270</v>
      </c>
      <c r="B316" s="53" t="s">
        <v>271</v>
      </c>
      <c r="C316" s="51" t="s">
        <v>1139</v>
      </c>
    </row>
    <row r="317" spans="1:3" ht="15.6" x14ac:dyDescent="0.3">
      <c r="A317" s="53" t="s">
        <v>272</v>
      </c>
      <c r="B317" s="53" t="s">
        <v>273</v>
      </c>
      <c r="C317" s="51" t="s">
        <v>1140</v>
      </c>
    </row>
    <row r="318" spans="1:3" ht="15.6" x14ac:dyDescent="0.3">
      <c r="A318" s="53" t="s">
        <v>303</v>
      </c>
      <c r="B318" s="53" t="s">
        <v>304</v>
      </c>
      <c r="C318" s="51" t="s">
        <v>1141</v>
      </c>
    </row>
    <row r="319" spans="1:3" ht="15.6" x14ac:dyDescent="0.3">
      <c r="A319" s="53" t="s">
        <v>319</v>
      </c>
      <c r="B319" s="53" t="s">
        <v>320</v>
      </c>
      <c r="C319" s="51" t="s">
        <v>1142</v>
      </c>
    </row>
    <row r="320" spans="1:3" ht="15.6" x14ac:dyDescent="0.3">
      <c r="A320" s="53" t="s">
        <v>283</v>
      </c>
      <c r="B320" s="53" t="s">
        <v>284</v>
      </c>
      <c r="C320" s="51" t="s">
        <v>1143</v>
      </c>
    </row>
    <row r="321" spans="1:3" ht="15.6" x14ac:dyDescent="0.3">
      <c r="A321" s="53" t="s">
        <v>274</v>
      </c>
      <c r="B321" s="53" t="s">
        <v>751</v>
      </c>
      <c r="C321" s="51" t="s">
        <v>1357</v>
      </c>
    </row>
    <row r="322" spans="1:3" ht="15.6" x14ac:dyDescent="0.3">
      <c r="A322" s="53" t="s">
        <v>288</v>
      </c>
      <c r="B322" s="53" t="s">
        <v>289</v>
      </c>
      <c r="C322" s="51" t="s">
        <v>1144</v>
      </c>
    </row>
    <row r="323" spans="1:3" ht="15.6" x14ac:dyDescent="0.3">
      <c r="A323" s="53" t="s">
        <v>300</v>
      </c>
      <c r="B323" s="53" t="s">
        <v>301</v>
      </c>
      <c r="C323" s="51" t="s">
        <v>1145</v>
      </c>
    </row>
    <row r="324" spans="1:3" ht="15.6" x14ac:dyDescent="0.3">
      <c r="A324" s="53" t="s">
        <v>599</v>
      </c>
      <c r="B324" s="53" t="s">
        <v>752</v>
      </c>
      <c r="C324" s="51" t="s">
        <v>1358</v>
      </c>
    </row>
    <row r="325" spans="1:3" ht="15.6" x14ac:dyDescent="0.3">
      <c r="A325" s="53" t="s">
        <v>275</v>
      </c>
      <c r="B325" s="53" t="s">
        <v>276</v>
      </c>
      <c r="C325" s="51" t="s">
        <v>1146</v>
      </c>
    </row>
    <row r="326" spans="1:3" ht="15.6" x14ac:dyDescent="0.3">
      <c r="A326" s="53" t="s">
        <v>600</v>
      </c>
      <c r="B326" s="53" t="s">
        <v>753</v>
      </c>
      <c r="C326" s="51" t="e">
        <v>#N/A</v>
      </c>
    </row>
    <row r="327" spans="1:3" ht="15.6" x14ac:dyDescent="0.3">
      <c r="A327" s="53" t="s">
        <v>381</v>
      </c>
      <c r="B327" s="53" t="s">
        <v>754</v>
      </c>
      <c r="C327" s="51" t="s">
        <v>1147</v>
      </c>
    </row>
    <row r="328" spans="1:3" ht="15.6" x14ac:dyDescent="0.3">
      <c r="A328" s="53" t="s">
        <v>351</v>
      </c>
      <c r="B328" s="53" t="s">
        <v>352</v>
      </c>
      <c r="C328" s="51" t="s">
        <v>1148</v>
      </c>
    </row>
    <row r="329" spans="1:3" ht="15.6" x14ac:dyDescent="0.3">
      <c r="A329" s="53" t="s">
        <v>601</v>
      </c>
      <c r="B329" s="53" t="s">
        <v>755</v>
      </c>
      <c r="C329" s="51" t="e">
        <v>#N/A</v>
      </c>
    </row>
    <row r="330" spans="1:3" ht="15.6" x14ac:dyDescent="0.3">
      <c r="A330" s="53" t="s">
        <v>602</v>
      </c>
      <c r="B330" s="53" t="s">
        <v>756</v>
      </c>
      <c r="C330" s="51" t="e">
        <v>#N/A</v>
      </c>
    </row>
    <row r="331" spans="1:3" ht="15.6" x14ac:dyDescent="0.3">
      <c r="A331" s="53" t="s">
        <v>346</v>
      </c>
      <c r="B331" s="53" t="s">
        <v>757</v>
      </c>
      <c r="C331" s="51" t="e">
        <v>#N/A</v>
      </c>
    </row>
    <row r="332" spans="1:3" ht="15.6" x14ac:dyDescent="0.3">
      <c r="A332" s="53" t="s">
        <v>413</v>
      </c>
      <c r="B332" s="53" t="s">
        <v>414</v>
      </c>
      <c r="C332" s="51" t="s">
        <v>1149</v>
      </c>
    </row>
    <row r="333" spans="1:3" ht="15.6" x14ac:dyDescent="0.3">
      <c r="A333" s="53" t="s">
        <v>603</v>
      </c>
      <c r="B333" s="53" t="s">
        <v>758</v>
      </c>
      <c r="C333" s="51" t="s">
        <v>1150</v>
      </c>
    </row>
    <row r="334" spans="1:3" ht="15.6" x14ac:dyDescent="0.3">
      <c r="A334" s="53" t="s">
        <v>335</v>
      </c>
      <c r="B334" s="53" t="s">
        <v>759</v>
      </c>
      <c r="C334" s="51" t="e">
        <v>#N/A</v>
      </c>
    </row>
    <row r="335" spans="1:3" ht="15.6" x14ac:dyDescent="0.3">
      <c r="A335" s="53" t="s">
        <v>333</v>
      </c>
      <c r="B335" s="53" t="s">
        <v>334</v>
      </c>
      <c r="C335" s="51" t="s">
        <v>1151</v>
      </c>
    </row>
    <row r="336" spans="1:3" ht="15.6" x14ac:dyDescent="0.3">
      <c r="A336" s="53" t="s">
        <v>604</v>
      </c>
      <c r="B336" s="53" t="s">
        <v>760</v>
      </c>
      <c r="C336" s="51" t="s">
        <v>1359</v>
      </c>
    </row>
    <row r="337" spans="1:3" ht="15.6" x14ac:dyDescent="0.3">
      <c r="A337" s="53" t="s">
        <v>425</v>
      </c>
      <c r="B337" s="53" t="s">
        <v>426</v>
      </c>
      <c r="C337" s="51" t="e">
        <v>#N/A</v>
      </c>
    </row>
    <row r="338" spans="1:3" ht="15.6" x14ac:dyDescent="0.3">
      <c r="A338" s="53" t="s">
        <v>605</v>
      </c>
      <c r="B338" s="53" t="s">
        <v>761</v>
      </c>
      <c r="C338" s="51" t="s">
        <v>1152</v>
      </c>
    </row>
    <row r="339" spans="1:3" ht="15.6" x14ac:dyDescent="0.3">
      <c r="A339" s="53" t="s">
        <v>387</v>
      </c>
      <c r="B339" s="53" t="s">
        <v>762</v>
      </c>
      <c r="C339" s="51" t="s">
        <v>1153</v>
      </c>
    </row>
    <row r="340" spans="1:3" ht="15.6" x14ac:dyDescent="0.3">
      <c r="A340" s="53" t="s">
        <v>386</v>
      </c>
      <c r="B340" s="53" t="s">
        <v>763</v>
      </c>
      <c r="C340" s="51" t="s">
        <v>1154</v>
      </c>
    </row>
    <row r="341" spans="1:3" ht="15.6" x14ac:dyDescent="0.3">
      <c r="A341" s="53" t="s">
        <v>357</v>
      </c>
      <c r="B341" s="53" t="s">
        <v>358</v>
      </c>
      <c r="C341" s="51" t="s">
        <v>1155</v>
      </c>
    </row>
    <row r="342" spans="1:3" ht="15.6" x14ac:dyDescent="0.3">
      <c r="A342" s="53" t="s">
        <v>359</v>
      </c>
      <c r="B342" s="53" t="s">
        <v>764</v>
      </c>
      <c r="C342" s="51" t="s">
        <v>1156</v>
      </c>
    </row>
    <row r="343" spans="1:3" ht="15.6" x14ac:dyDescent="0.3">
      <c r="A343" s="53" t="s">
        <v>606</v>
      </c>
      <c r="B343" s="53" t="s">
        <v>765</v>
      </c>
      <c r="C343" s="51" t="s">
        <v>1360</v>
      </c>
    </row>
    <row r="344" spans="1:3" ht="15.6" x14ac:dyDescent="0.3">
      <c r="A344" s="53" t="s">
        <v>394</v>
      </c>
      <c r="B344" s="53" t="s">
        <v>395</v>
      </c>
      <c r="C344" s="51" t="s">
        <v>1157</v>
      </c>
    </row>
    <row r="345" spans="1:3" ht="15.6" x14ac:dyDescent="0.3">
      <c r="A345" s="53" t="s">
        <v>356</v>
      </c>
      <c r="B345" s="53" t="s">
        <v>766</v>
      </c>
      <c r="C345" s="51" t="s">
        <v>1158</v>
      </c>
    </row>
    <row r="346" spans="1:3" ht="15.6" x14ac:dyDescent="0.3">
      <c r="A346" s="53" t="s">
        <v>331</v>
      </c>
      <c r="B346" s="53" t="s">
        <v>767</v>
      </c>
      <c r="C346" s="51" t="s">
        <v>1159</v>
      </c>
    </row>
    <row r="347" spans="1:3" ht="15.6" x14ac:dyDescent="0.3">
      <c r="A347" s="53" t="s">
        <v>339</v>
      </c>
      <c r="B347" s="53" t="s">
        <v>340</v>
      </c>
      <c r="C347" s="51" t="s">
        <v>1160</v>
      </c>
    </row>
    <row r="348" spans="1:3" ht="15.6" x14ac:dyDescent="0.3">
      <c r="A348" s="53" t="s">
        <v>607</v>
      </c>
      <c r="B348" s="53" t="s">
        <v>768</v>
      </c>
      <c r="C348" s="51" t="s">
        <v>1361</v>
      </c>
    </row>
    <row r="349" spans="1:3" ht="15.6" x14ac:dyDescent="0.3">
      <c r="A349" s="53" t="s">
        <v>373</v>
      </c>
      <c r="B349" s="53" t="s">
        <v>374</v>
      </c>
      <c r="C349" s="51" t="s">
        <v>1161</v>
      </c>
    </row>
    <row r="350" spans="1:3" ht="15.6" x14ac:dyDescent="0.3">
      <c r="A350" s="53" t="s">
        <v>420</v>
      </c>
      <c r="B350" s="53" t="s">
        <v>421</v>
      </c>
      <c r="C350" s="51" t="e">
        <v>#N/A</v>
      </c>
    </row>
    <row r="351" spans="1:3" ht="15.6" x14ac:dyDescent="0.3">
      <c r="A351" s="53" t="s">
        <v>389</v>
      </c>
      <c r="B351" s="53" t="s">
        <v>390</v>
      </c>
      <c r="C351" s="51" t="e">
        <v>#N/A</v>
      </c>
    </row>
    <row r="352" spans="1:3" ht="15.6" x14ac:dyDescent="0.3">
      <c r="A352" s="53" t="s">
        <v>379</v>
      </c>
      <c r="B352" s="53" t="s">
        <v>769</v>
      </c>
      <c r="C352" s="51" t="s">
        <v>1162</v>
      </c>
    </row>
    <row r="353" spans="1:3" ht="15.6" x14ac:dyDescent="0.3">
      <c r="A353" s="53" t="s">
        <v>422</v>
      </c>
      <c r="B353" s="53" t="s">
        <v>423</v>
      </c>
      <c r="C353" s="51" t="s">
        <v>1163</v>
      </c>
    </row>
    <row r="354" spans="1:3" ht="15.6" x14ac:dyDescent="0.3">
      <c r="A354" s="53" t="s">
        <v>324</v>
      </c>
      <c r="B354" s="53" t="s">
        <v>770</v>
      </c>
      <c r="C354" s="51" t="s">
        <v>1164</v>
      </c>
    </row>
    <row r="355" spans="1:3" ht="15.6" x14ac:dyDescent="0.3">
      <c r="A355" s="53" t="s">
        <v>405</v>
      </c>
      <c r="B355" s="53" t="s">
        <v>406</v>
      </c>
      <c r="C355" s="51" t="s">
        <v>1165</v>
      </c>
    </row>
    <row r="356" spans="1:3" ht="15.6" x14ac:dyDescent="0.3">
      <c r="A356" s="53" t="s">
        <v>342</v>
      </c>
      <c r="B356" s="53" t="s">
        <v>771</v>
      </c>
      <c r="C356" s="51" t="s">
        <v>1166</v>
      </c>
    </row>
    <row r="357" spans="1:3" ht="15.6" x14ac:dyDescent="0.3">
      <c r="A357" s="53" t="s">
        <v>393</v>
      </c>
      <c r="B357" s="53" t="s">
        <v>772</v>
      </c>
      <c r="C357" s="51" t="s">
        <v>1167</v>
      </c>
    </row>
    <row r="358" spans="1:3" ht="15.6" x14ac:dyDescent="0.3">
      <c r="A358" s="53" t="s">
        <v>608</v>
      </c>
      <c r="B358" s="53" t="s">
        <v>424</v>
      </c>
      <c r="C358" s="51" t="s">
        <v>1168</v>
      </c>
    </row>
    <row r="359" spans="1:3" ht="15.6" x14ac:dyDescent="0.3">
      <c r="A359" s="53" t="s">
        <v>360</v>
      </c>
      <c r="B359" s="53" t="s">
        <v>361</v>
      </c>
      <c r="C359" s="51" t="s">
        <v>1169</v>
      </c>
    </row>
    <row r="360" spans="1:3" ht="15.6" x14ac:dyDescent="0.3">
      <c r="A360" s="53" t="s">
        <v>388</v>
      </c>
      <c r="B360" s="53" t="s">
        <v>773</v>
      </c>
      <c r="C360" s="51" t="s">
        <v>1170</v>
      </c>
    </row>
    <row r="361" spans="1:3" ht="15.6" x14ac:dyDescent="0.3">
      <c r="A361" s="53" t="s">
        <v>609</v>
      </c>
      <c r="B361" s="53" t="s">
        <v>774</v>
      </c>
      <c r="C361" s="51" t="s">
        <v>1171</v>
      </c>
    </row>
    <row r="362" spans="1:3" ht="15.6" x14ac:dyDescent="0.3">
      <c r="A362" s="53" t="s">
        <v>338</v>
      </c>
      <c r="B362" s="53" t="s">
        <v>775</v>
      </c>
      <c r="C362" s="51" t="s">
        <v>1172</v>
      </c>
    </row>
    <row r="363" spans="1:3" ht="15.6" x14ac:dyDescent="0.3">
      <c r="A363" s="53" t="s">
        <v>329</v>
      </c>
      <c r="B363" s="53" t="s">
        <v>776</v>
      </c>
      <c r="C363" s="51" t="e">
        <v>#N/A</v>
      </c>
    </row>
    <row r="364" spans="1:3" ht="15.6" x14ac:dyDescent="0.3">
      <c r="A364" s="53" t="s">
        <v>327</v>
      </c>
      <c r="B364" s="53" t="s">
        <v>777</v>
      </c>
      <c r="C364" s="51" t="s">
        <v>1173</v>
      </c>
    </row>
    <row r="365" spans="1:3" ht="15.6" x14ac:dyDescent="0.3">
      <c r="A365" s="53" t="s">
        <v>355</v>
      </c>
      <c r="B365" s="53" t="s">
        <v>778</v>
      </c>
      <c r="C365" s="51" t="s">
        <v>1174</v>
      </c>
    </row>
    <row r="366" spans="1:3" ht="15.6" x14ac:dyDescent="0.3">
      <c r="A366" s="53" t="s">
        <v>364</v>
      </c>
      <c r="B366" s="53" t="s">
        <v>365</v>
      </c>
      <c r="C366" s="51" t="s">
        <v>1175</v>
      </c>
    </row>
    <row r="367" spans="1:3" ht="15.6" x14ac:dyDescent="0.3">
      <c r="A367" s="53" t="s">
        <v>353</v>
      </c>
      <c r="B367" s="53" t="s">
        <v>354</v>
      </c>
      <c r="C367" s="51" t="e">
        <v>#N/A</v>
      </c>
    </row>
    <row r="368" spans="1:3" ht="15.6" x14ac:dyDescent="0.3">
      <c r="A368" s="53" t="s">
        <v>380</v>
      </c>
      <c r="B368" s="53" t="s">
        <v>779</v>
      </c>
      <c r="C368" s="51" t="s">
        <v>1176</v>
      </c>
    </row>
    <row r="369" spans="1:3" ht="15.6" x14ac:dyDescent="0.3">
      <c r="A369" s="53" t="s">
        <v>610</v>
      </c>
      <c r="B369" s="53" t="s">
        <v>780</v>
      </c>
      <c r="C369" s="51" t="e">
        <v>#N/A</v>
      </c>
    </row>
    <row r="370" spans="1:3" ht="15.6" x14ac:dyDescent="0.3">
      <c r="A370" s="53" t="s">
        <v>337</v>
      </c>
      <c r="B370" s="53" t="s">
        <v>781</v>
      </c>
      <c r="C370" s="51" t="s">
        <v>1177</v>
      </c>
    </row>
    <row r="371" spans="1:3" ht="15.6" x14ac:dyDescent="0.3">
      <c r="A371" s="53" t="s">
        <v>611</v>
      </c>
      <c r="B371" s="53" t="s">
        <v>782</v>
      </c>
      <c r="C371" s="51" t="s">
        <v>1178</v>
      </c>
    </row>
    <row r="372" spans="1:3" ht="15.6" x14ac:dyDescent="0.3">
      <c r="A372" s="53" t="s">
        <v>417</v>
      </c>
      <c r="B372" s="53" t="s">
        <v>783</v>
      </c>
      <c r="C372" s="51" t="s">
        <v>1179</v>
      </c>
    </row>
    <row r="373" spans="1:3" ht="15.6" x14ac:dyDescent="0.3">
      <c r="A373" s="53" t="s">
        <v>341</v>
      </c>
      <c r="B373" s="53" t="s">
        <v>784</v>
      </c>
      <c r="C373" s="51" t="s">
        <v>1180</v>
      </c>
    </row>
    <row r="374" spans="1:3" ht="15.6" x14ac:dyDescent="0.3">
      <c r="A374" s="53" t="s">
        <v>368</v>
      </c>
      <c r="B374" s="53" t="s">
        <v>369</v>
      </c>
      <c r="C374" s="51" t="s">
        <v>1181</v>
      </c>
    </row>
    <row r="375" spans="1:3" ht="15.6" x14ac:dyDescent="0.3">
      <c r="A375" s="53" t="s">
        <v>343</v>
      </c>
      <c r="B375" s="53" t="s">
        <v>785</v>
      </c>
      <c r="C375" s="51" t="s">
        <v>1182</v>
      </c>
    </row>
    <row r="376" spans="1:3" ht="15.6" x14ac:dyDescent="0.3">
      <c r="A376" s="53" t="s">
        <v>325</v>
      </c>
      <c r="B376" s="53" t="s">
        <v>786</v>
      </c>
      <c r="C376" s="51" t="e">
        <v>#N/A</v>
      </c>
    </row>
    <row r="377" spans="1:3" ht="15.6" x14ac:dyDescent="0.3">
      <c r="A377" s="53" t="s">
        <v>349</v>
      </c>
      <c r="B377" s="53" t="s">
        <v>787</v>
      </c>
      <c r="C377" s="51" t="s">
        <v>1183</v>
      </c>
    </row>
    <row r="378" spans="1:3" ht="15.6" x14ac:dyDescent="0.3">
      <c r="A378" s="53" t="s">
        <v>348</v>
      </c>
      <c r="B378" s="53" t="s">
        <v>788</v>
      </c>
      <c r="C378" s="51" t="s">
        <v>1184</v>
      </c>
    </row>
    <row r="379" spans="1:3" ht="15.6" x14ac:dyDescent="0.3">
      <c r="A379" s="53" t="s">
        <v>350</v>
      </c>
      <c r="B379" s="53" t="s">
        <v>789</v>
      </c>
      <c r="C379" s="51" t="s">
        <v>1185</v>
      </c>
    </row>
    <row r="380" spans="1:3" ht="15.6" x14ac:dyDescent="0.3">
      <c r="A380" s="53" t="s">
        <v>344</v>
      </c>
      <c r="B380" s="53" t="s">
        <v>345</v>
      </c>
      <c r="C380" s="51" t="s">
        <v>1186</v>
      </c>
    </row>
    <row r="381" spans="1:3" ht="15.6" x14ac:dyDescent="0.3">
      <c r="A381" s="53" t="s">
        <v>612</v>
      </c>
      <c r="B381" s="53" t="s">
        <v>790</v>
      </c>
      <c r="C381" s="51" t="e">
        <v>#N/A</v>
      </c>
    </row>
    <row r="382" spans="1:3" ht="15.6" x14ac:dyDescent="0.3">
      <c r="A382" s="53" t="s">
        <v>613</v>
      </c>
      <c r="B382" s="53" t="s">
        <v>791</v>
      </c>
      <c r="C382" s="51" t="e">
        <v>#N/A</v>
      </c>
    </row>
    <row r="383" spans="1:3" ht="15.6" x14ac:dyDescent="0.3">
      <c r="A383" s="53" t="s">
        <v>614</v>
      </c>
      <c r="B383" s="53" t="s">
        <v>792</v>
      </c>
      <c r="C383" s="51" t="s">
        <v>1187</v>
      </c>
    </row>
    <row r="384" spans="1:3" ht="15.6" x14ac:dyDescent="0.3">
      <c r="A384" s="53" t="s">
        <v>796</v>
      </c>
      <c r="B384" s="53" t="s">
        <v>1265</v>
      </c>
      <c r="C384" s="51" t="e">
        <v>#N/A</v>
      </c>
    </row>
    <row r="385" spans="1:3" ht="15.6" x14ac:dyDescent="0.3">
      <c r="A385" s="53" t="s">
        <v>835</v>
      </c>
      <c r="B385" s="53" t="s">
        <v>1362</v>
      </c>
      <c r="C385" s="51" t="e">
        <v>#N/A</v>
      </c>
    </row>
    <row r="386" spans="1:3" ht="15.6" x14ac:dyDescent="0.3">
      <c r="A386" s="53" t="s">
        <v>836</v>
      </c>
      <c r="B386" s="53" t="s">
        <v>1363</v>
      </c>
      <c r="C386" s="51" t="s">
        <v>1188</v>
      </c>
    </row>
    <row r="387" spans="1:3" ht="15.6" x14ac:dyDescent="0.3">
      <c r="A387" s="53" t="s">
        <v>812</v>
      </c>
      <c r="B387" s="53" t="s">
        <v>813</v>
      </c>
      <c r="C387" s="51" t="e">
        <v>#N/A</v>
      </c>
    </row>
    <row r="388" spans="1:3" ht="15.6" x14ac:dyDescent="0.3">
      <c r="A388" s="53" t="s">
        <v>830</v>
      </c>
      <c r="B388" s="53" t="s">
        <v>1340</v>
      </c>
      <c r="C388" s="51" t="s">
        <v>1364</v>
      </c>
    </row>
    <row r="389" spans="1:3" ht="15.6" x14ac:dyDescent="0.3">
      <c r="A389" s="53" t="s">
        <v>829</v>
      </c>
      <c r="B389" s="53" t="s">
        <v>1338</v>
      </c>
      <c r="C389" s="51" t="s">
        <v>1365</v>
      </c>
    </row>
    <row r="390" spans="1:3" ht="15.6" x14ac:dyDescent="0.3">
      <c r="A390" s="53" t="s">
        <v>818</v>
      </c>
      <c r="B390" s="53" t="s">
        <v>819</v>
      </c>
      <c r="C390" s="51" t="s">
        <v>1189</v>
      </c>
    </row>
    <row r="391" spans="1:3" ht="15.6" x14ac:dyDescent="0.3">
      <c r="A391" s="53" t="s">
        <v>831</v>
      </c>
      <c r="B391" s="53" t="s">
        <v>832</v>
      </c>
      <c r="C391" s="51" t="s">
        <v>1366</v>
      </c>
    </row>
    <row r="392" spans="1:3" ht="15.6" x14ac:dyDescent="0.3">
      <c r="A392" s="53" t="s">
        <v>814</v>
      </c>
      <c r="B392" s="53" t="s">
        <v>815</v>
      </c>
      <c r="C392" s="51" t="s">
        <v>1190</v>
      </c>
    </row>
    <row r="393" spans="1:3" ht="15.6" x14ac:dyDescent="0.3">
      <c r="A393" s="53" t="s">
        <v>802</v>
      </c>
      <c r="B393" s="53" t="s">
        <v>803</v>
      </c>
      <c r="C393" s="51" t="s">
        <v>1191</v>
      </c>
    </row>
    <row r="394" spans="1:3" ht="15.6" x14ac:dyDescent="0.3">
      <c r="A394" s="53" t="s">
        <v>822</v>
      </c>
      <c r="B394" s="53" t="s">
        <v>823</v>
      </c>
      <c r="C394" s="51" t="e">
        <v>#N/A</v>
      </c>
    </row>
    <row r="395" spans="1:3" ht="15.6" x14ac:dyDescent="0.3">
      <c r="A395" s="53" t="s">
        <v>816</v>
      </c>
      <c r="B395" s="53" t="s">
        <v>817</v>
      </c>
      <c r="C395" s="51" t="s">
        <v>1367</v>
      </c>
    </row>
    <row r="396" spans="1:3" ht="15.6" x14ac:dyDescent="0.3">
      <c r="A396" s="53" t="s">
        <v>794</v>
      </c>
      <c r="B396" s="53" t="s">
        <v>1264</v>
      </c>
      <c r="C396" s="51" t="s">
        <v>1368</v>
      </c>
    </row>
    <row r="397" spans="1:3" ht="15.6" x14ac:dyDescent="0.3">
      <c r="A397" s="53" t="s">
        <v>838</v>
      </c>
      <c r="B397" s="53" t="s">
        <v>1369</v>
      </c>
      <c r="C397" s="51" t="s">
        <v>1370</v>
      </c>
    </row>
    <row r="398" spans="1:3" ht="15.6" x14ac:dyDescent="0.3">
      <c r="A398" s="53" t="s">
        <v>839</v>
      </c>
      <c r="B398" s="53" t="s">
        <v>820</v>
      </c>
      <c r="C398" s="51" t="s">
        <v>1192</v>
      </c>
    </row>
    <row r="399" spans="1:3" ht="15.6" x14ac:dyDescent="0.3">
      <c r="A399" s="53" t="s">
        <v>840</v>
      </c>
      <c r="B399" s="53" t="s">
        <v>1221</v>
      </c>
      <c r="C399" s="51" t="s">
        <v>1371</v>
      </c>
    </row>
    <row r="400" spans="1:3" ht="15.6" x14ac:dyDescent="0.3">
      <c r="A400" s="53" t="s">
        <v>1316</v>
      </c>
      <c r="B400" s="53" t="s">
        <v>1317</v>
      </c>
      <c r="C400" s="51" t="s">
        <v>1372</v>
      </c>
    </row>
    <row r="401" spans="1:3" ht="15.6" x14ac:dyDescent="0.3">
      <c r="A401" s="53" t="s">
        <v>841</v>
      </c>
      <c r="B401" s="53" t="s">
        <v>1308</v>
      </c>
      <c r="C401" s="51" t="e">
        <v>#N/A</v>
      </c>
    </row>
    <row r="402" spans="1:3" ht="15.6" x14ac:dyDescent="0.3">
      <c r="A402" s="53" t="s">
        <v>842</v>
      </c>
      <c r="B402" s="53" t="s">
        <v>821</v>
      </c>
      <c r="C402" s="51" t="s">
        <v>1373</v>
      </c>
    </row>
    <row r="403" spans="1:3" ht="15.6" x14ac:dyDescent="0.3">
      <c r="A403" s="53" t="s">
        <v>1301</v>
      </c>
      <c r="B403" s="53" t="s">
        <v>801</v>
      </c>
      <c r="C403" s="51" t="s">
        <v>1374</v>
      </c>
    </row>
    <row r="404" spans="1:3" ht="15.6" x14ac:dyDescent="0.3">
      <c r="A404" s="53" t="s">
        <v>1375</v>
      </c>
      <c r="B404" s="53" t="s">
        <v>1376</v>
      </c>
      <c r="C404" s="51" t="s">
        <v>1377</v>
      </c>
    </row>
    <row r="405" spans="1:3" ht="15.6" x14ac:dyDescent="0.3">
      <c r="A405" s="53" t="s">
        <v>826</v>
      </c>
      <c r="B405" s="53" t="s">
        <v>1324</v>
      </c>
      <c r="C405" s="51" t="s">
        <v>1378</v>
      </c>
    </row>
    <row r="406" spans="1:3" ht="15.6" x14ac:dyDescent="0.3">
      <c r="A406" s="53" t="s">
        <v>1288</v>
      </c>
      <c r="B406" s="53" t="s">
        <v>1289</v>
      </c>
      <c r="C406" s="51" t="s">
        <v>1379</v>
      </c>
    </row>
    <row r="407" spans="1:3" ht="15.6" x14ac:dyDescent="0.3">
      <c r="A407" s="53" t="s">
        <v>804</v>
      </c>
      <c r="B407" s="53" t="s">
        <v>805</v>
      </c>
      <c r="C407" s="51" t="s">
        <v>1380</v>
      </c>
    </row>
    <row r="408" spans="1:3" ht="15.6" x14ac:dyDescent="0.3">
      <c r="A408" s="53" t="s">
        <v>824</v>
      </c>
      <c r="B408" s="53" t="s">
        <v>825</v>
      </c>
      <c r="C408" s="51" t="s">
        <v>1381</v>
      </c>
    </row>
    <row r="409" spans="1:3" ht="15.6" x14ac:dyDescent="0.3">
      <c r="A409" s="53" t="s">
        <v>827</v>
      </c>
      <c r="B409" s="53" t="s">
        <v>828</v>
      </c>
      <c r="C409" s="51" t="e">
        <v>#N/A</v>
      </c>
    </row>
    <row r="410" spans="1:3" ht="15.6" x14ac:dyDescent="0.3">
      <c r="A410" s="53" t="s">
        <v>806</v>
      </c>
      <c r="B410" s="53" t="s">
        <v>807</v>
      </c>
      <c r="C410" s="51" t="e">
        <v>#N/A</v>
      </c>
    </row>
    <row r="411" spans="1:3" ht="15.6" x14ac:dyDescent="0.3">
      <c r="A411" s="53" t="s">
        <v>1382</v>
      </c>
      <c r="B411" s="53" t="s">
        <v>1383</v>
      </c>
      <c r="C411" s="51" t="e">
        <v>#N/A</v>
      </c>
    </row>
    <row r="412" spans="1:3" ht="15.6" x14ac:dyDescent="0.3">
      <c r="A412" s="53" t="s">
        <v>1384</v>
      </c>
      <c r="B412" s="53" t="s">
        <v>1385</v>
      </c>
      <c r="C412" s="51" t="s">
        <v>1386</v>
      </c>
    </row>
    <row r="413" spans="1:3" ht="15.6" x14ac:dyDescent="0.3">
      <c r="A413" s="53" t="s">
        <v>833</v>
      </c>
      <c r="B413" s="53" t="s">
        <v>834</v>
      </c>
      <c r="C413" s="51" t="s">
        <v>1387</v>
      </c>
    </row>
    <row r="414" spans="1:3" ht="15.6" x14ac:dyDescent="0.3">
      <c r="A414" s="53" t="s">
        <v>1215</v>
      </c>
      <c r="B414" s="53" t="s">
        <v>1216</v>
      </c>
      <c r="C414" s="51" t="s">
        <v>1388</v>
      </c>
    </row>
    <row r="415" spans="1:3" ht="15.6" x14ac:dyDescent="0.3">
      <c r="A415" s="53" t="s">
        <v>1280</v>
      </c>
      <c r="B415" s="53" t="s">
        <v>1281</v>
      </c>
      <c r="C415" s="51" t="s">
        <v>1389</v>
      </c>
    </row>
    <row r="416" spans="1:3" ht="15.6" x14ac:dyDescent="0.3">
      <c r="A416" s="53" t="s">
        <v>1390</v>
      </c>
      <c r="B416" s="53" t="s">
        <v>1391</v>
      </c>
      <c r="C416" s="51" t="e">
        <v>#N/A</v>
      </c>
    </row>
    <row r="417" spans="1:3" ht="15.6" x14ac:dyDescent="0.3">
      <c r="A417" s="53" t="s">
        <v>1209</v>
      </c>
      <c r="B417" s="53" t="s">
        <v>1210</v>
      </c>
      <c r="C417" s="51" t="s">
        <v>1392</v>
      </c>
    </row>
    <row r="418" spans="1:3" ht="15.6" x14ac:dyDescent="0.3">
      <c r="A418" s="53" t="s">
        <v>1311</v>
      </c>
      <c r="B418" s="53" t="s">
        <v>1393</v>
      </c>
      <c r="C418" s="51" t="s">
        <v>1394</v>
      </c>
    </row>
    <row r="419" spans="1:3" ht="15.6" x14ac:dyDescent="0.3">
      <c r="A419" s="53" t="s">
        <v>1224</v>
      </c>
      <c r="B419" s="53" t="s">
        <v>1225</v>
      </c>
      <c r="C419" s="51" t="s">
        <v>1395</v>
      </c>
    </row>
    <row r="420" spans="1:3" ht="15.6" x14ac:dyDescent="0.3">
      <c r="A420" s="53" t="s">
        <v>1227</v>
      </c>
      <c r="B420" s="53" t="s">
        <v>1228</v>
      </c>
      <c r="C420" s="51" t="s">
        <v>1396</v>
      </c>
    </row>
    <row r="421" spans="1:3" ht="15.6" x14ac:dyDescent="0.3">
      <c r="A421" s="53" t="s">
        <v>1397</v>
      </c>
      <c r="B421" s="53" t="s">
        <v>1398</v>
      </c>
      <c r="C421" s="51" t="e">
        <v>#N/A</v>
      </c>
    </row>
    <row r="422" spans="1:3" ht="15.6" x14ac:dyDescent="0.3">
      <c r="A422" s="53" t="s">
        <v>1336</v>
      </c>
      <c r="B422" s="53" t="s">
        <v>1337</v>
      </c>
      <c r="C422" s="51" t="s">
        <v>1399</v>
      </c>
    </row>
    <row r="423" spans="1:3" ht="15.6" x14ac:dyDescent="0.3">
      <c r="A423" s="53" t="s">
        <v>1400</v>
      </c>
      <c r="B423" s="53" t="s">
        <v>1401</v>
      </c>
      <c r="C423" s="51" t="s">
        <v>1402</v>
      </c>
    </row>
    <row r="424" spans="1:3" ht="15.6" x14ac:dyDescent="0.3">
      <c r="A424" s="53" t="s">
        <v>1403</v>
      </c>
      <c r="B424" s="53" t="s">
        <v>1404</v>
      </c>
      <c r="C424" s="51" t="s">
        <v>1405</v>
      </c>
    </row>
    <row r="425" spans="1:3" ht="15.6" x14ac:dyDescent="0.3">
      <c r="A425" s="53" t="s">
        <v>1292</v>
      </c>
      <c r="B425" s="53" t="s">
        <v>1406</v>
      </c>
      <c r="C425" s="51" t="s">
        <v>1407</v>
      </c>
    </row>
    <row r="426" spans="1:3" ht="15.6" x14ac:dyDescent="0.3">
      <c r="A426" s="53" t="s">
        <v>1287</v>
      </c>
      <c r="B426" s="53" t="s">
        <v>1408</v>
      </c>
      <c r="C426" s="51" t="s">
        <v>1409</v>
      </c>
    </row>
    <row r="427" spans="1:3" ht="15.6" x14ac:dyDescent="0.3">
      <c r="A427" s="53" t="s">
        <v>1219</v>
      </c>
      <c r="B427" s="53" t="s">
        <v>1220</v>
      </c>
      <c r="C427" s="51" t="s">
        <v>1410</v>
      </c>
    </row>
    <row r="428" spans="1:3" ht="15.6" x14ac:dyDescent="0.3">
      <c r="A428" s="53" t="s">
        <v>1411</v>
      </c>
      <c r="B428" s="53" t="s">
        <v>1412</v>
      </c>
      <c r="C428" s="51" t="e">
        <v>#N/A</v>
      </c>
    </row>
    <row r="429" spans="1:3" ht="15.6" x14ac:dyDescent="0.3">
      <c r="A429" s="53" t="s">
        <v>1309</v>
      </c>
      <c r="B429" s="53" t="s">
        <v>1310</v>
      </c>
      <c r="C429" s="51" t="e">
        <v>#N/A</v>
      </c>
    </row>
    <row r="430" spans="1:3" ht="15.6" x14ac:dyDescent="0.3">
      <c r="A430" s="53" t="s">
        <v>1413</v>
      </c>
      <c r="B430" s="53" t="s">
        <v>1414</v>
      </c>
      <c r="C430" s="51" t="e">
        <v>#N/A</v>
      </c>
    </row>
    <row r="431" spans="1:3" ht="15.6" x14ac:dyDescent="0.3">
      <c r="A431" s="53" t="s">
        <v>1247</v>
      </c>
      <c r="B431" s="53" t="s">
        <v>1248</v>
      </c>
      <c r="C431" s="51" t="s">
        <v>1415</v>
      </c>
    </row>
    <row r="432" spans="1:3" ht="15.6" x14ac:dyDescent="0.3">
      <c r="A432" s="53" t="s">
        <v>1299</v>
      </c>
      <c r="B432" s="53" t="s">
        <v>1300</v>
      </c>
      <c r="C432" s="51" t="s">
        <v>1416</v>
      </c>
    </row>
    <row r="433" spans="1:3" ht="15.6" x14ac:dyDescent="0.3">
      <c r="A433" s="53" t="s">
        <v>1293</v>
      </c>
      <c r="B433" s="53" t="s">
        <v>1294</v>
      </c>
      <c r="C433" s="51" t="s">
        <v>1417</v>
      </c>
    </row>
    <row r="434" spans="1:3" ht="15.6" x14ac:dyDescent="0.3">
      <c r="A434" s="53" t="s">
        <v>1193</v>
      </c>
      <c r="B434" s="53" t="s">
        <v>1194</v>
      </c>
      <c r="C434" s="51" t="s">
        <v>1418</v>
      </c>
    </row>
    <row r="435" spans="1:3" ht="15.6" x14ac:dyDescent="0.3">
      <c r="A435" s="53" t="s">
        <v>1282</v>
      </c>
      <c r="B435" s="53" t="s">
        <v>1283</v>
      </c>
      <c r="C435" s="51" t="s">
        <v>1419</v>
      </c>
    </row>
    <row r="436" spans="1:3" ht="15.6" x14ac:dyDescent="0.3">
      <c r="A436" s="53" t="s">
        <v>1245</v>
      </c>
      <c r="B436" s="53" t="s">
        <v>1246</v>
      </c>
      <c r="C436" s="51" t="s">
        <v>1420</v>
      </c>
    </row>
    <row r="437" spans="1:3" ht="15.6" x14ac:dyDescent="0.3">
      <c r="A437" s="53" t="s">
        <v>1226</v>
      </c>
      <c r="B437" s="53" t="s">
        <v>728</v>
      </c>
      <c r="C437" s="51" t="s">
        <v>1421</v>
      </c>
    </row>
    <row r="438" spans="1:3" ht="15.6" x14ac:dyDescent="0.3">
      <c r="A438" s="53" t="s">
        <v>1259</v>
      </c>
      <c r="B438" s="53" t="s">
        <v>1260</v>
      </c>
      <c r="C438" s="51" t="s">
        <v>1422</v>
      </c>
    </row>
    <row r="439" spans="1:3" ht="15.6" x14ac:dyDescent="0.3">
      <c r="A439" s="53" t="s">
        <v>1312</v>
      </c>
      <c r="B439" s="53" t="s">
        <v>1313</v>
      </c>
      <c r="C439" s="51" t="s">
        <v>1423</v>
      </c>
    </row>
    <row r="440" spans="1:3" ht="15.6" x14ac:dyDescent="0.3">
      <c r="A440" s="53" t="s">
        <v>1203</v>
      </c>
      <c r="B440" s="53" t="s">
        <v>1204</v>
      </c>
      <c r="C440" s="51" t="s">
        <v>1424</v>
      </c>
    </row>
    <row r="441" spans="1:3" ht="15.6" x14ac:dyDescent="0.3">
      <c r="A441" s="53" t="s">
        <v>1239</v>
      </c>
      <c r="B441" s="53" t="s">
        <v>1240</v>
      </c>
      <c r="C441" s="51" t="s">
        <v>1425</v>
      </c>
    </row>
    <row r="442" spans="1:3" ht="15.6" x14ac:dyDescent="0.3">
      <c r="A442" s="53" t="s">
        <v>1426</v>
      </c>
      <c r="B442" s="53" t="s">
        <v>1427</v>
      </c>
      <c r="C442" s="51" t="s">
        <v>1428</v>
      </c>
    </row>
    <row r="443" spans="1:3" ht="15.6" x14ac:dyDescent="0.3">
      <c r="A443" s="53" t="s">
        <v>1429</v>
      </c>
      <c r="B443" s="53" t="s">
        <v>1430</v>
      </c>
      <c r="C443" s="51" t="e">
        <v>#N/A</v>
      </c>
    </row>
    <row r="444" spans="1:3" ht="15.6" x14ac:dyDescent="0.3">
      <c r="A444" s="53" t="s">
        <v>1431</v>
      </c>
      <c r="B444" s="53" t="s">
        <v>1432</v>
      </c>
      <c r="C444" s="51" t="e">
        <v>#N/A</v>
      </c>
    </row>
    <row r="445" spans="1:3" ht="15.6" x14ac:dyDescent="0.3">
      <c r="A445" s="53" t="s">
        <v>1319</v>
      </c>
      <c r="B445" s="53" t="s">
        <v>1320</v>
      </c>
      <c r="C445" s="51" t="s">
        <v>1433</v>
      </c>
    </row>
    <row r="446" spans="1:3" ht="15.6" x14ac:dyDescent="0.3">
      <c r="A446" s="53" t="s">
        <v>1434</v>
      </c>
      <c r="B446" s="53" t="s">
        <v>1435</v>
      </c>
      <c r="C446" s="51" t="s">
        <v>1436</v>
      </c>
    </row>
    <row r="447" spans="1:3" ht="15.6" x14ac:dyDescent="0.3">
      <c r="A447" s="53" t="s">
        <v>1302</v>
      </c>
      <c r="B447" s="53" t="s">
        <v>1303</v>
      </c>
      <c r="C447" s="51" t="s">
        <v>1437</v>
      </c>
    </row>
    <row r="448" spans="1:3" ht="15.6" x14ac:dyDescent="0.3">
      <c r="A448" s="53" t="s">
        <v>1438</v>
      </c>
      <c r="B448" s="53" t="s">
        <v>1439</v>
      </c>
      <c r="C448" s="51" t="e">
        <v>#N/A</v>
      </c>
    </row>
    <row r="449" spans="1:3" ht="15.6" x14ac:dyDescent="0.3">
      <c r="A449" s="53" t="s">
        <v>1318</v>
      </c>
      <c r="B449" s="53" t="s">
        <v>1440</v>
      </c>
      <c r="C449" s="51" t="s">
        <v>1441</v>
      </c>
    </row>
    <row r="450" spans="1:3" ht="15.6" x14ac:dyDescent="0.3">
      <c r="A450" s="53" t="s">
        <v>1229</v>
      </c>
      <c r="B450" s="53" t="s">
        <v>1230</v>
      </c>
      <c r="C450" s="51" t="s">
        <v>1442</v>
      </c>
    </row>
    <row r="451" spans="1:3" ht="15.6" x14ac:dyDescent="0.3">
      <c r="A451" s="53" t="s">
        <v>1237</v>
      </c>
      <c r="B451" s="53" t="s">
        <v>1238</v>
      </c>
      <c r="C451" s="51" t="s">
        <v>1443</v>
      </c>
    </row>
    <row r="452" spans="1:3" ht="15.6" x14ac:dyDescent="0.3">
      <c r="A452" s="53" t="s">
        <v>1444</v>
      </c>
      <c r="B452" s="53" t="s">
        <v>1445</v>
      </c>
      <c r="C452" s="51" t="e">
        <v>#N/A</v>
      </c>
    </row>
    <row r="453" spans="1:3" ht="15.6" x14ac:dyDescent="0.3">
      <c r="A453" s="53" t="s">
        <v>1243</v>
      </c>
      <c r="B453" s="53" t="s">
        <v>1244</v>
      </c>
      <c r="C453" s="51" t="s">
        <v>1446</v>
      </c>
    </row>
    <row r="454" spans="1:3" ht="15.6" x14ac:dyDescent="0.3">
      <c r="A454" s="53" t="s">
        <v>1290</v>
      </c>
      <c r="B454" s="53" t="s">
        <v>1291</v>
      </c>
      <c r="C454" s="51" t="s">
        <v>1447</v>
      </c>
    </row>
    <row r="455" spans="1:3" ht="15.6" x14ac:dyDescent="0.3">
      <c r="A455" s="53" t="s">
        <v>1331</v>
      </c>
      <c r="B455" s="53" t="s">
        <v>1332</v>
      </c>
      <c r="C455" s="51" t="s">
        <v>1448</v>
      </c>
    </row>
    <row r="456" spans="1:3" ht="15.6" x14ac:dyDescent="0.3">
      <c r="A456" s="53" t="s">
        <v>1233</v>
      </c>
      <c r="B456" s="53" t="s">
        <v>1234</v>
      </c>
      <c r="C456" s="51" t="e">
        <v>#N/A</v>
      </c>
    </row>
    <row r="457" spans="1:3" ht="15.6" x14ac:dyDescent="0.3">
      <c r="A457" s="53" t="s">
        <v>1266</v>
      </c>
      <c r="B457" s="53" t="s">
        <v>1267</v>
      </c>
      <c r="C457" s="51" t="s">
        <v>1449</v>
      </c>
    </row>
    <row r="458" spans="1:3" ht="15.6" x14ac:dyDescent="0.3">
      <c r="A458" s="53" t="s">
        <v>1268</v>
      </c>
      <c r="B458" s="53" t="s">
        <v>1269</v>
      </c>
      <c r="C458" s="51" t="s">
        <v>1450</v>
      </c>
    </row>
    <row r="459" spans="1:3" ht="15.6" x14ac:dyDescent="0.3">
      <c r="A459" s="53" t="s">
        <v>1451</v>
      </c>
      <c r="B459" s="53" t="s">
        <v>1452</v>
      </c>
      <c r="C459" s="51" t="e">
        <v>#N/A</v>
      </c>
    </row>
    <row r="460" spans="1:3" ht="15.6" x14ac:dyDescent="0.3">
      <c r="A460" s="53" t="s">
        <v>1453</v>
      </c>
      <c r="B460" s="53" t="s">
        <v>1454</v>
      </c>
      <c r="C460" s="51" t="e">
        <v>#N/A</v>
      </c>
    </row>
    <row r="461" spans="1:3" ht="15.6" x14ac:dyDescent="0.3">
      <c r="A461" s="53" t="s">
        <v>1455</v>
      </c>
      <c r="B461" s="53" t="s">
        <v>1456</v>
      </c>
      <c r="C461" s="51" t="e">
        <v>#N/A</v>
      </c>
    </row>
    <row r="462" spans="1:3" ht="15.6" x14ac:dyDescent="0.3">
      <c r="A462" s="53" t="s">
        <v>1272</v>
      </c>
      <c r="B462" s="53" t="s">
        <v>1273</v>
      </c>
      <c r="C462" s="51" t="s">
        <v>1457</v>
      </c>
    </row>
    <row r="463" spans="1:3" ht="15.6" x14ac:dyDescent="0.3">
      <c r="A463" s="53" t="s">
        <v>1263</v>
      </c>
      <c r="B463" s="53" t="s">
        <v>1458</v>
      </c>
      <c r="C463" s="51" t="e">
        <v>#N/A</v>
      </c>
    </row>
    <row r="464" spans="1:3" ht="15.6" x14ac:dyDescent="0.3">
      <c r="A464" s="53" t="s">
        <v>1286</v>
      </c>
      <c r="B464" s="53" t="s">
        <v>1459</v>
      </c>
      <c r="C464" s="51" t="s">
        <v>1460</v>
      </c>
    </row>
    <row r="465" spans="1:3" ht="15.6" x14ac:dyDescent="0.3">
      <c r="A465" s="53" t="s">
        <v>1262</v>
      </c>
      <c r="B465" s="53" t="s">
        <v>1461</v>
      </c>
      <c r="C465" s="51" t="e">
        <v>#N/A</v>
      </c>
    </row>
    <row r="466" spans="1:3" ht="15.6" x14ac:dyDescent="0.3">
      <c r="A466" s="53" t="s">
        <v>1327</v>
      </c>
      <c r="B466" s="53" t="s">
        <v>1328</v>
      </c>
      <c r="C466" s="51" t="s">
        <v>1462</v>
      </c>
    </row>
    <row r="467" spans="1:3" ht="15.6" x14ac:dyDescent="0.3">
      <c r="A467" s="53" t="s">
        <v>1270</v>
      </c>
      <c r="B467" s="53" t="s">
        <v>1271</v>
      </c>
      <c r="C467" s="51" t="s">
        <v>1463</v>
      </c>
    </row>
    <row r="468" spans="1:3" ht="15.6" x14ac:dyDescent="0.3">
      <c r="A468" s="53" t="s">
        <v>1276</v>
      </c>
      <c r="B468" s="53" t="s">
        <v>1277</v>
      </c>
      <c r="C468" s="51" t="s">
        <v>1464</v>
      </c>
    </row>
    <row r="469" spans="1:3" ht="15.6" x14ac:dyDescent="0.3">
      <c r="A469" s="53" t="s">
        <v>1207</v>
      </c>
      <c r="B469" s="53" t="s">
        <v>1208</v>
      </c>
      <c r="C469" s="51" t="s">
        <v>1465</v>
      </c>
    </row>
    <row r="470" spans="1:3" ht="15.6" x14ac:dyDescent="0.3">
      <c r="A470" s="53" t="s">
        <v>1201</v>
      </c>
      <c r="B470" s="53" t="s">
        <v>1202</v>
      </c>
      <c r="C470" s="51" t="s">
        <v>1466</v>
      </c>
    </row>
    <row r="471" spans="1:3" ht="15.6" x14ac:dyDescent="0.3">
      <c r="A471" s="53" t="s">
        <v>1205</v>
      </c>
      <c r="B471" s="53" t="s">
        <v>1206</v>
      </c>
      <c r="C471" s="51" t="s">
        <v>1467</v>
      </c>
    </row>
    <row r="472" spans="1:3" ht="15.6" x14ac:dyDescent="0.3">
      <c r="A472" s="53" t="s">
        <v>1241</v>
      </c>
      <c r="B472" s="53" t="s">
        <v>1242</v>
      </c>
      <c r="C472" s="51" t="s">
        <v>1468</v>
      </c>
    </row>
    <row r="473" spans="1:3" ht="15.6" x14ac:dyDescent="0.3">
      <c r="A473" s="53" t="s">
        <v>1213</v>
      </c>
      <c r="B473" s="53" t="s">
        <v>1214</v>
      </c>
      <c r="C473" s="51" t="s">
        <v>1469</v>
      </c>
    </row>
    <row r="474" spans="1:3" ht="15.6" x14ac:dyDescent="0.3">
      <c r="A474" s="53" t="s">
        <v>1304</v>
      </c>
      <c r="B474" s="53" t="s">
        <v>1305</v>
      </c>
      <c r="C474" s="51" t="s">
        <v>1470</v>
      </c>
    </row>
    <row r="475" spans="1:3" ht="15.6" x14ac:dyDescent="0.3">
      <c r="A475" s="53" t="s">
        <v>1199</v>
      </c>
      <c r="B475" s="53" t="s">
        <v>1200</v>
      </c>
      <c r="C475" s="51" t="e">
        <v>#N/A</v>
      </c>
    </row>
    <row r="476" spans="1:3" ht="15.6" x14ac:dyDescent="0.3">
      <c r="A476" s="53" t="s">
        <v>1255</v>
      </c>
      <c r="B476" s="53" t="s">
        <v>1256</v>
      </c>
      <c r="C476" s="51" t="s">
        <v>1471</v>
      </c>
    </row>
    <row r="477" spans="1:3" ht="15.6" x14ac:dyDescent="0.3">
      <c r="A477" s="53" t="s">
        <v>1217</v>
      </c>
      <c r="B477" s="53" t="s">
        <v>1218</v>
      </c>
      <c r="C477" s="51" t="s">
        <v>1472</v>
      </c>
    </row>
    <row r="478" spans="1:3" ht="15.6" x14ac:dyDescent="0.3">
      <c r="A478" s="53" t="s">
        <v>1284</v>
      </c>
      <c r="B478" s="53" t="s">
        <v>1285</v>
      </c>
      <c r="C478" s="51" t="s">
        <v>1473</v>
      </c>
    </row>
    <row r="479" spans="1:3" ht="15.6" x14ac:dyDescent="0.3">
      <c r="A479" s="53" t="s">
        <v>1295</v>
      </c>
      <c r="B479" s="53" t="s">
        <v>1296</v>
      </c>
      <c r="C479" s="51" t="e">
        <v>#N/A</v>
      </c>
    </row>
    <row r="480" spans="1:3" ht="15.6" x14ac:dyDescent="0.3">
      <c r="A480" s="53" t="s">
        <v>1474</v>
      </c>
      <c r="B480" s="53" t="s">
        <v>1475</v>
      </c>
      <c r="C480" s="51" t="e">
        <v>#N/A</v>
      </c>
    </row>
    <row r="481" spans="1:3" ht="15.6" x14ac:dyDescent="0.3">
      <c r="A481" s="53" t="s">
        <v>1251</v>
      </c>
      <c r="B481" s="53" t="s">
        <v>1252</v>
      </c>
      <c r="C481" s="51" t="s">
        <v>1476</v>
      </c>
    </row>
    <row r="482" spans="1:3" ht="15.6" x14ac:dyDescent="0.3">
      <c r="A482" s="53" t="s">
        <v>1477</v>
      </c>
      <c r="B482" s="53" t="s">
        <v>1478</v>
      </c>
      <c r="C482" s="51" t="s">
        <v>1479</v>
      </c>
    </row>
    <row r="483" spans="1:3" ht="15.6" x14ac:dyDescent="0.3">
      <c r="A483" s="53" t="s">
        <v>1211</v>
      </c>
      <c r="B483" s="53" t="s">
        <v>1212</v>
      </c>
      <c r="C483" s="51" t="s">
        <v>1480</v>
      </c>
    </row>
    <row r="484" spans="1:3" ht="15.6" x14ac:dyDescent="0.3">
      <c r="A484" s="53" t="s">
        <v>1481</v>
      </c>
      <c r="B484" s="53" t="s">
        <v>1482</v>
      </c>
      <c r="C484" s="51" t="e">
        <v>#N/A</v>
      </c>
    </row>
    <row r="485" spans="1:3" ht="15.6" x14ac:dyDescent="0.3">
      <c r="A485" s="53" t="s">
        <v>1483</v>
      </c>
      <c r="B485" s="53" t="s">
        <v>1484</v>
      </c>
      <c r="C485" s="51" t="e">
        <v>#N/A</v>
      </c>
    </row>
    <row r="486" spans="1:3" ht="15.6" x14ac:dyDescent="0.3">
      <c r="A486" s="53" t="s">
        <v>1195</v>
      </c>
      <c r="B486" s="53" t="s">
        <v>1196</v>
      </c>
      <c r="C486" s="51" t="s">
        <v>1485</v>
      </c>
    </row>
    <row r="487" spans="1:3" ht="15.6" x14ac:dyDescent="0.3">
      <c r="A487" s="53" t="s">
        <v>1222</v>
      </c>
      <c r="B487" s="53" t="s">
        <v>1223</v>
      </c>
      <c r="C487" s="51" t="s">
        <v>1486</v>
      </c>
    </row>
    <row r="488" spans="1:3" ht="15.6" x14ac:dyDescent="0.3">
      <c r="A488" s="53" t="s">
        <v>1249</v>
      </c>
      <c r="B488" s="53" t="s">
        <v>1250</v>
      </c>
      <c r="C488" s="51" t="s">
        <v>1487</v>
      </c>
    </row>
    <row r="489" spans="1:3" ht="15.6" x14ac:dyDescent="0.3">
      <c r="A489" s="53" t="s">
        <v>1231</v>
      </c>
      <c r="B489" s="53" t="s">
        <v>1232</v>
      </c>
      <c r="C489" s="51" t="s">
        <v>1488</v>
      </c>
    </row>
    <row r="490" spans="1:3" ht="15.6" x14ac:dyDescent="0.3">
      <c r="A490" s="53" t="s">
        <v>1278</v>
      </c>
      <c r="B490" s="53" t="s">
        <v>1279</v>
      </c>
      <c r="C490" s="51" t="s">
        <v>1489</v>
      </c>
    </row>
    <row r="491" spans="1:3" ht="15.6" x14ac:dyDescent="0.3">
      <c r="A491" s="53" t="s">
        <v>1490</v>
      </c>
      <c r="B491" s="53" t="s">
        <v>1491</v>
      </c>
      <c r="C491" s="51" t="s">
        <v>1492</v>
      </c>
    </row>
    <row r="492" spans="1:3" ht="15.6" x14ac:dyDescent="0.3">
      <c r="A492" s="53" t="s">
        <v>1493</v>
      </c>
      <c r="B492" s="53" t="s">
        <v>1494</v>
      </c>
      <c r="C492" s="51" t="s">
        <v>1495</v>
      </c>
    </row>
    <row r="493" spans="1:3" ht="15.6" x14ac:dyDescent="0.3">
      <c r="A493" s="53" t="s">
        <v>1496</v>
      </c>
      <c r="B493" s="53" t="s">
        <v>1497</v>
      </c>
      <c r="C493" s="51" t="e">
        <v>#N/A</v>
      </c>
    </row>
    <row r="494" spans="1:3" ht="15.6" x14ac:dyDescent="0.3">
      <c r="A494" s="53" t="s">
        <v>1314</v>
      </c>
      <c r="B494" s="53" t="s">
        <v>1315</v>
      </c>
      <c r="C494" s="51" t="s">
        <v>1498</v>
      </c>
    </row>
    <row r="495" spans="1:3" ht="15.6" x14ac:dyDescent="0.3">
      <c r="A495" s="53" t="s">
        <v>1257</v>
      </c>
      <c r="B495" s="53" t="s">
        <v>1258</v>
      </c>
      <c r="C495" s="51" t="s">
        <v>1499</v>
      </c>
    </row>
    <row r="496" spans="1:3" ht="15.6" x14ac:dyDescent="0.3">
      <c r="A496" s="53" t="s">
        <v>1339</v>
      </c>
      <c r="B496" s="53" t="s">
        <v>1500</v>
      </c>
      <c r="C496" s="51" t="e">
        <v>#N/A</v>
      </c>
    </row>
    <row r="497" spans="1:3" ht="15.6" x14ac:dyDescent="0.3">
      <c r="A497" s="53" t="s">
        <v>1501</v>
      </c>
      <c r="B497" s="53" t="s">
        <v>1502</v>
      </c>
      <c r="C497" s="51" t="e">
        <v>#N/A</v>
      </c>
    </row>
    <row r="498" spans="1:3" ht="15.6" x14ac:dyDescent="0.3">
      <c r="A498" s="53" t="s">
        <v>1321</v>
      </c>
      <c r="B498" s="53" t="s">
        <v>1503</v>
      </c>
      <c r="C498" s="51" t="s">
        <v>1504</v>
      </c>
    </row>
    <row r="499" spans="1:3" ht="15.6" x14ac:dyDescent="0.3">
      <c r="A499" s="53" t="s">
        <v>1505</v>
      </c>
      <c r="B499" s="53" t="s">
        <v>1506</v>
      </c>
      <c r="C499" s="51" t="e">
        <v>#N/A</v>
      </c>
    </row>
    <row r="500" spans="1:3" ht="15.6" x14ac:dyDescent="0.3">
      <c r="A500" s="53" t="s">
        <v>1297</v>
      </c>
      <c r="B500" s="53" t="s">
        <v>1298</v>
      </c>
      <c r="C500" s="51" t="e">
        <v>#N/A</v>
      </c>
    </row>
    <row r="501" spans="1:3" ht="15.6" x14ac:dyDescent="0.3">
      <c r="A501" s="53" t="s">
        <v>1306</v>
      </c>
      <c r="B501" s="53" t="s">
        <v>1307</v>
      </c>
      <c r="C501" s="51" t="s">
        <v>1507</v>
      </c>
    </row>
    <row r="502" spans="1:3" ht="15.6" x14ac:dyDescent="0.3">
      <c r="A502" s="53" t="s">
        <v>1261</v>
      </c>
      <c r="B502" s="53" t="s">
        <v>1508</v>
      </c>
      <c r="C502" s="51" t="e">
        <v>#N/A</v>
      </c>
    </row>
    <row r="503" spans="1:3" ht="15.6" x14ac:dyDescent="0.3">
      <c r="A503" s="53" t="s">
        <v>1274</v>
      </c>
      <c r="B503" s="53" t="s">
        <v>1275</v>
      </c>
      <c r="C503" s="51" t="s">
        <v>1509</v>
      </c>
    </row>
    <row r="504" spans="1:3" ht="15.6" x14ac:dyDescent="0.3">
      <c r="A504" s="53" t="s">
        <v>1197</v>
      </c>
      <c r="B504" s="53" t="s">
        <v>1198</v>
      </c>
      <c r="C504" s="51" t="s">
        <v>1510</v>
      </c>
    </row>
    <row r="505" spans="1:3" ht="15.6" x14ac:dyDescent="0.3">
      <c r="A505" s="53" t="s">
        <v>1325</v>
      </c>
      <c r="B505" s="53" t="s">
        <v>1326</v>
      </c>
      <c r="C505" s="51" t="s">
        <v>1511</v>
      </c>
    </row>
    <row r="506" spans="1:3" ht="15.6" x14ac:dyDescent="0.3">
      <c r="A506" s="53" t="s">
        <v>1512</v>
      </c>
      <c r="B506" s="53" t="s">
        <v>1513</v>
      </c>
      <c r="C506" s="51" t="s">
        <v>1514</v>
      </c>
    </row>
    <row r="507" spans="1:3" ht="15.6" x14ac:dyDescent="0.3">
      <c r="A507" s="53" t="s">
        <v>1235</v>
      </c>
      <c r="B507" s="53" t="s">
        <v>1236</v>
      </c>
      <c r="C507" s="51" t="s">
        <v>1515</v>
      </c>
    </row>
    <row r="508" spans="1:3" ht="15.6" x14ac:dyDescent="0.3">
      <c r="A508" s="53" t="s">
        <v>1516</v>
      </c>
      <c r="B508" s="53" t="s">
        <v>1517</v>
      </c>
      <c r="C508" s="51" t="e">
        <v>#N/A</v>
      </c>
    </row>
    <row r="509" spans="1:3" ht="15.6" x14ac:dyDescent="0.3">
      <c r="A509" s="53" t="s">
        <v>1253</v>
      </c>
      <c r="B509" s="53" t="s">
        <v>1254</v>
      </c>
      <c r="C509" s="51" t="e">
        <v>#N/A</v>
      </c>
    </row>
    <row r="510" spans="1:3" ht="15.6" x14ac:dyDescent="0.3">
      <c r="A510" s="53" t="s">
        <v>1329</v>
      </c>
      <c r="B510" s="53" t="s">
        <v>1330</v>
      </c>
      <c r="C510" s="51" t="s">
        <v>1518</v>
      </c>
    </row>
    <row r="511" spans="1:3" ht="15.6" x14ac:dyDescent="0.3">
      <c r="A511" s="53" t="s">
        <v>1519</v>
      </c>
      <c r="B511" s="53" t="s">
        <v>1520</v>
      </c>
      <c r="C511" s="51" t="s">
        <v>1521</v>
      </c>
    </row>
    <row r="512" spans="1:3" ht="15.6" x14ac:dyDescent="0.3">
      <c r="A512" s="53" t="s">
        <v>1322</v>
      </c>
      <c r="B512" s="53" t="s">
        <v>1522</v>
      </c>
      <c r="C512" s="51" t="e">
        <v>#N/A</v>
      </c>
    </row>
    <row r="513" spans="1:3" ht="15.6" x14ac:dyDescent="0.3">
      <c r="A513" s="53" t="s">
        <v>1523</v>
      </c>
      <c r="B513" s="53" t="s">
        <v>1524</v>
      </c>
      <c r="C513" s="51" t="s">
        <v>1525</v>
      </c>
    </row>
    <row r="514" spans="1:3" ht="15.6" x14ac:dyDescent="0.3">
      <c r="A514" s="53" t="s">
        <v>1526</v>
      </c>
      <c r="B514" s="53" t="s">
        <v>1527</v>
      </c>
      <c r="C514" s="51" t="e">
        <v>#N/A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D13"/>
  <sheetViews>
    <sheetView workbookViewId="0">
      <selection activeCell="F11" sqref="F11"/>
    </sheetView>
  </sheetViews>
  <sheetFormatPr defaultRowHeight="14.4" x14ac:dyDescent="0.3"/>
  <cols>
    <col min="1" max="1" width="10.109375" bestFit="1" customWidth="1"/>
    <col min="2" max="2" width="27.88671875" bestFit="1" customWidth="1"/>
    <col min="3" max="3" width="5.109375" bestFit="1" customWidth="1"/>
  </cols>
  <sheetData>
    <row r="1" spans="1:4" x14ac:dyDescent="0.3">
      <c r="A1" s="43" t="s">
        <v>615</v>
      </c>
      <c r="B1" s="43" t="s">
        <v>3</v>
      </c>
      <c r="C1" s="43" t="s">
        <v>616</v>
      </c>
      <c r="D1" s="43" t="s">
        <v>466</v>
      </c>
    </row>
    <row r="2" spans="1:4" x14ac:dyDescent="0.3">
      <c r="A2" t="s">
        <v>325</v>
      </c>
      <c r="B2" t="s">
        <v>326</v>
      </c>
      <c r="C2">
        <v>1</v>
      </c>
    </row>
    <row r="3" spans="1:4" x14ac:dyDescent="0.3">
      <c r="A3" t="s">
        <v>327</v>
      </c>
      <c r="B3" t="s">
        <v>328</v>
      </c>
      <c r="C3">
        <v>1</v>
      </c>
    </row>
    <row r="4" spans="1:4" x14ac:dyDescent="0.3">
      <c r="A4" t="s">
        <v>329</v>
      </c>
      <c r="B4" t="s">
        <v>330</v>
      </c>
      <c r="C4">
        <v>1</v>
      </c>
    </row>
    <row r="5" spans="1:4" x14ac:dyDescent="0.3">
      <c r="A5" t="s">
        <v>331</v>
      </c>
      <c r="B5" t="s">
        <v>332</v>
      </c>
      <c r="C5">
        <v>1</v>
      </c>
    </row>
    <row r="6" spans="1:4" x14ac:dyDescent="0.3">
      <c r="A6" t="s">
        <v>335</v>
      </c>
      <c r="B6" t="s">
        <v>336</v>
      </c>
      <c r="C6">
        <v>1</v>
      </c>
    </row>
    <row r="7" spans="1:4" x14ac:dyDescent="0.3">
      <c r="A7" t="s">
        <v>344</v>
      </c>
      <c r="B7" t="s">
        <v>345</v>
      </c>
      <c r="C7">
        <v>1</v>
      </c>
    </row>
    <row r="8" spans="1:4" x14ac:dyDescent="0.3">
      <c r="A8" t="s">
        <v>346</v>
      </c>
      <c r="B8" t="s">
        <v>347</v>
      </c>
      <c r="C8">
        <v>1</v>
      </c>
    </row>
    <row r="9" spans="1:4" x14ac:dyDescent="0.3">
      <c r="A9" t="s">
        <v>353</v>
      </c>
      <c r="B9" t="s">
        <v>354</v>
      </c>
      <c r="C9">
        <v>2</v>
      </c>
    </row>
    <row r="10" spans="1:4" x14ac:dyDescent="0.3">
      <c r="A10" t="s">
        <v>364</v>
      </c>
      <c r="B10" t="s">
        <v>365</v>
      </c>
      <c r="C10">
        <v>2</v>
      </c>
    </row>
    <row r="11" spans="1:4" x14ac:dyDescent="0.3">
      <c r="A11" t="s">
        <v>420</v>
      </c>
      <c r="B11" t="s">
        <v>421</v>
      </c>
      <c r="C11">
        <v>5</v>
      </c>
    </row>
    <row r="12" spans="1:4" x14ac:dyDescent="0.3">
      <c r="A12" t="s">
        <v>420</v>
      </c>
      <c r="B12" t="s">
        <v>424</v>
      </c>
      <c r="C12">
        <v>5</v>
      </c>
    </row>
    <row r="13" spans="1:4" x14ac:dyDescent="0.3">
      <c r="A13" t="s">
        <v>425</v>
      </c>
      <c r="B13" t="s">
        <v>426</v>
      </c>
      <c r="C13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B24"/>
  <sheetViews>
    <sheetView tabSelected="1" zoomScale="70" zoomScaleNormal="70" workbookViewId="0">
      <selection activeCell="H10" sqref="H10"/>
    </sheetView>
  </sheetViews>
  <sheetFormatPr defaultColWidth="8.88671875" defaultRowHeight="13.8" x14ac:dyDescent="0.25"/>
  <cols>
    <col min="1" max="1" width="24.33203125" style="58" customWidth="1"/>
    <col min="2" max="2" width="12.88671875" style="58" customWidth="1"/>
    <col min="3" max="4" width="8.88671875" style="58"/>
    <col min="5" max="5" width="28.109375" style="58" customWidth="1"/>
    <col min="6" max="6" width="6.109375" style="58" customWidth="1"/>
    <col min="7" max="7" width="18.109375" style="58" customWidth="1"/>
    <col min="8" max="16384" width="8.88671875" style="58"/>
  </cols>
  <sheetData>
    <row r="1" spans="1:2" ht="15" customHeight="1" x14ac:dyDescent="0.25">
      <c r="A1" s="56" t="s">
        <v>101</v>
      </c>
      <c r="B1" s="57"/>
    </row>
    <row r="2" spans="1:2" ht="16.5" customHeight="1" x14ac:dyDescent="0.3">
      <c r="A2" s="56" t="s">
        <v>102</v>
      </c>
      <c r="B2" s="17"/>
    </row>
    <row r="3" spans="1:2" ht="18" customHeight="1" x14ac:dyDescent="0.25">
      <c r="A3" s="56"/>
      <c r="B3" s="59"/>
    </row>
    <row r="4" spans="1:2" ht="15" x14ac:dyDescent="0.25">
      <c r="A4" s="56"/>
      <c r="B4" s="59"/>
    </row>
    <row r="5" spans="1:2" ht="15" x14ac:dyDescent="0.25">
      <c r="A5" s="56"/>
      <c r="B5" s="59"/>
    </row>
    <row r="6" spans="1:2" ht="15" x14ac:dyDescent="0.25">
      <c r="A6" s="56" t="s">
        <v>1549</v>
      </c>
      <c r="B6" s="59"/>
    </row>
    <row r="7" spans="1:2" ht="18" thickBot="1" x14ac:dyDescent="0.3">
      <c r="A7" s="60" t="e">
        <f xml:space="preserve"> "Level " &amp; VLOOKUP(B2,Data!A1:J4900,3,FALSE)</f>
        <v>#N/A</v>
      </c>
      <c r="B7" s="61" t="s">
        <v>104</v>
      </c>
    </row>
    <row r="8" spans="1:2" ht="15.6" thickTop="1" x14ac:dyDescent="0.25">
      <c r="A8" s="64" t="s">
        <v>157</v>
      </c>
      <c r="B8" s="77"/>
    </row>
    <row r="9" spans="1:2" ht="15" x14ac:dyDescent="0.25">
      <c r="A9" s="65" t="s">
        <v>155</v>
      </c>
      <c r="B9" s="78"/>
    </row>
    <row r="10" spans="1:2" ht="15" x14ac:dyDescent="0.25">
      <c r="A10" s="65" t="s">
        <v>156</v>
      </c>
      <c r="B10" s="78"/>
    </row>
    <row r="11" spans="1:2" ht="15" x14ac:dyDescent="0.25">
      <c r="A11" s="65" t="s">
        <v>1528</v>
      </c>
      <c r="B11" s="78"/>
    </row>
    <row r="12" spans="1:2" ht="15" x14ac:dyDescent="0.25">
      <c r="A12" s="65" t="s">
        <v>105</v>
      </c>
      <c r="B12" s="78"/>
    </row>
    <row r="13" spans="1:2" ht="15.6" thickBot="1" x14ac:dyDescent="0.3">
      <c r="A13" s="66" t="s">
        <v>837</v>
      </c>
      <c r="B13" s="79"/>
    </row>
    <row r="14" spans="1:2" ht="15.6" thickTop="1" x14ac:dyDescent="0.25">
      <c r="A14" s="62" t="s">
        <v>106</v>
      </c>
      <c r="B14" s="80"/>
    </row>
    <row r="16" spans="1:2" x14ac:dyDescent="0.25">
      <c r="A16" s="58" t="s">
        <v>107</v>
      </c>
    </row>
    <row r="18" spans="1:2" x14ac:dyDescent="0.25">
      <c r="A18" s="63" t="s">
        <v>1529</v>
      </c>
    </row>
    <row r="19" spans="1:2" x14ac:dyDescent="0.25">
      <c r="A19" s="58" t="s">
        <v>157</v>
      </c>
      <c r="B19" s="67">
        <v>20</v>
      </c>
    </row>
    <row r="20" spans="1:2" x14ac:dyDescent="0.25">
      <c r="A20" s="58" t="s">
        <v>155</v>
      </c>
      <c r="B20" s="67">
        <v>20</v>
      </c>
    </row>
    <row r="21" spans="1:2" x14ac:dyDescent="0.25">
      <c r="A21" s="58" t="s">
        <v>156</v>
      </c>
      <c r="B21" s="67">
        <v>20</v>
      </c>
    </row>
    <row r="22" spans="1:2" x14ac:dyDescent="0.25">
      <c r="A22" s="58" t="s">
        <v>1528</v>
      </c>
      <c r="B22" s="67">
        <v>20</v>
      </c>
    </row>
    <row r="23" spans="1:2" x14ac:dyDescent="0.25">
      <c r="A23" s="58" t="s">
        <v>105</v>
      </c>
      <c r="B23" s="67">
        <v>10</v>
      </c>
    </row>
    <row r="24" spans="1:2" x14ac:dyDescent="0.25">
      <c r="A24" s="58" t="s">
        <v>837</v>
      </c>
      <c r="B24" s="67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_Registration_Transcripts">
                <anchor moveWithCells="1" sizeWithCells="1">
                  <from>
                    <xdr:col>3</xdr:col>
                    <xdr:colOff>7620</xdr:colOff>
                    <xdr:row>6</xdr:row>
                    <xdr:rowOff>22860</xdr:rowOff>
                  </from>
                  <to>
                    <xdr:col>4</xdr:col>
                    <xdr:colOff>998220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C495"/>
  <sheetViews>
    <sheetView workbookViewId="0">
      <selection activeCell="A53" sqref="A53"/>
    </sheetView>
  </sheetViews>
  <sheetFormatPr defaultRowHeight="14.4" x14ac:dyDescent="0.3"/>
  <cols>
    <col min="1" max="1" width="10.5546875" style="55" bestFit="1" customWidth="1"/>
    <col min="2" max="2" width="24.6640625" style="51" bestFit="1" customWidth="1"/>
    <col min="3" max="3" width="46" style="51" bestFit="1" customWidth="1"/>
  </cols>
  <sheetData>
    <row r="1" spans="1:3" x14ac:dyDescent="0.3">
      <c r="A1" s="54" t="s">
        <v>1550</v>
      </c>
      <c r="B1" s="4" t="s">
        <v>3</v>
      </c>
      <c r="C1" s="4" t="s">
        <v>466</v>
      </c>
    </row>
    <row r="2" spans="1:3" x14ac:dyDescent="0.3">
      <c r="A2" s="55" t="e">
        <v>#N/A</v>
      </c>
      <c r="B2" s="51" t="s">
        <v>1551</v>
      </c>
      <c r="C2" s="51" t="s">
        <v>1552</v>
      </c>
    </row>
    <row r="3" spans="1:3" x14ac:dyDescent="0.3">
      <c r="A3" s="55" t="e">
        <v>#N/A</v>
      </c>
      <c r="B3" s="51" t="s">
        <v>1553</v>
      </c>
      <c r="C3" s="51" t="s">
        <v>1554</v>
      </c>
    </row>
    <row r="4" spans="1:3" x14ac:dyDescent="0.3">
      <c r="A4" s="55" t="e">
        <v>#N/A</v>
      </c>
      <c r="B4" s="51" t="s">
        <v>1555</v>
      </c>
      <c r="C4" s="51" t="s">
        <v>1556</v>
      </c>
    </row>
    <row r="5" spans="1:3" x14ac:dyDescent="0.3">
      <c r="A5" s="55" t="e">
        <v>#N/A</v>
      </c>
      <c r="B5" s="51" t="s">
        <v>1557</v>
      </c>
      <c r="C5" s="51" t="s">
        <v>1558</v>
      </c>
    </row>
    <row r="6" spans="1:3" x14ac:dyDescent="0.3">
      <c r="A6" s="55" t="e">
        <v>#N/A</v>
      </c>
      <c r="B6" s="51" t="s">
        <v>1559</v>
      </c>
      <c r="C6" s="51" t="s">
        <v>1560</v>
      </c>
    </row>
    <row r="7" spans="1:3" x14ac:dyDescent="0.3">
      <c r="A7" s="55" t="e">
        <v>#N/A</v>
      </c>
      <c r="B7" s="51" t="s">
        <v>1561</v>
      </c>
      <c r="C7" s="51" t="s">
        <v>1562</v>
      </c>
    </row>
    <row r="8" spans="1:3" x14ac:dyDescent="0.3">
      <c r="A8" s="55" t="e">
        <v>#N/A</v>
      </c>
      <c r="B8" s="51" t="s">
        <v>1563</v>
      </c>
      <c r="C8" s="51" t="s">
        <v>1564</v>
      </c>
    </row>
    <row r="9" spans="1:3" x14ac:dyDescent="0.3">
      <c r="A9" s="55" t="e">
        <v>#N/A</v>
      </c>
      <c r="B9" s="51" t="s">
        <v>1565</v>
      </c>
      <c r="C9" s="51" t="s">
        <v>1566</v>
      </c>
    </row>
    <row r="10" spans="1:3" x14ac:dyDescent="0.3">
      <c r="A10" s="55" t="e">
        <v>#N/A</v>
      </c>
      <c r="B10" s="51" t="s">
        <v>1567</v>
      </c>
      <c r="C10" s="51" t="s">
        <v>1568</v>
      </c>
    </row>
    <row r="11" spans="1:3" x14ac:dyDescent="0.3">
      <c r="A11" s="55" t="e">
        <v>#N/A</v>
      </c>
      <c r="B11" s="51" t="s">
        <v>1569</v>
      </c>
      <c r="C11" s="51" t="s">
        <v>1570</v>
      </c>
    </row>
    <row r="12" spans="1:3" x14ac:dyDescent="0.3">
      <c r="A12" s="55" t="e">
        <v>#N/A</v>
      </c>
      <c r="B12" s="51" t="s">
        <v>1571</v>
      </c>
      <c r="C12" s="51" t="s">
        <v>1572</v>
      </c>
    </row>
    <row r="13" spans="1:3" x14ac:dyDescent="0.3">
      <c r="A13" s="55" t="e">
        <v>#N/A</v>
      </c>
      <c r="B13" s="51" t="s">
        <v>1573</v>
      </c>
      <c r="C13" s="51" t="s">
        <v>1574</v>
      </c>
    </row>
    <row r="14" spans="1:3" x14ac:dyDescent="0.3">
      <c r="A14" s="55" t="e">
        <v>#N/A</v>
      </c>
      <c r="B14" s="51" t="s">
        <v>1575</v>
      </c>
      <c r="C14" s="51" t="s">
        <v>1576</v>
      </c>
    </row>
    <row r="15" spans="1:3" x14ac:dyDescent="0.3">
      <c r="A15" s="55" t="e">
        <v>#N/A</v>
      </c>
      <c r="B15" s="51" t="s">
        <v>1577</v>
      </c>
      <c r="C15" s="51" t="s">
        <v>1578</v>
      </c>
    </row>
    <row r="16" spans="1:3" x14ac:dyDescent="0.3">
      <c r="A16" s="55" t="e">
        <v>#N/A</v>
      </c>
      <c r="B16" s="51" t="s">
        <v>1579</v>
      </c>
      <c r="C16" s="51" t="s">
        <v>1580</v>
      </c>
    </row>
    <row r="17" spans="1:3" x14ac:dyDescent="0.3">
      <c r="A17" s="55" t="e">
        <v>#N/A</v>
      </c>
      <c r="B17" s="51" t="s">
        <v>1581</v>
      </c>
      <c r="C17" s="51" t="s">
        <v>1582</v>
      </c>
    </row>
    <row r="18" spans="1:3" x14ac:dyDescent="0.3">
      <c r="A18" s="55" t="e">
        <v>#N/A</v>
      </c>
      <c r="B18" s="51" t="s">
        <v>1583</v>
      </c>
      <c r="C18" s="51" t="s">
        <v>1584</v>
      </c>
    </row>
    <row r="19" spans="1:3" x14ac:dyDescent="0.3">
      <c r="A19" s="55" t="e">
        <v>#N/A</v>
      </c>
      <c r="B19" s="51" t="s">
        <v>1585</v>
      </c>
      <c r="C19" s="51" t="s">
        <v>1586</v>
      </c>
    </row>
    <row r="20" spans="1:3" x14ac:dyDescent="0.3">
      <c r="A20" s="55" t="e">
        <v>#N/A</v>
      </c>
      <c r="B20" s="51" t="s">
        <v>1587</v>
      </c>
      <c r="C20" s="51" t="s">
        <v>1588</v>
      </c>
    </row>
    <row r="21" spans="1:3" x14ac:dyDescent="0.3">
      <c r="A21" s="55" t="e">
        <v>#N/A</v>
      </c>
      <c r="B21" s="51" t="s">
        <v>1589</v>
      </c>
      <c r="C21" s="51" t="s">
        <v>1590</v>
      </c>
    </row>
    <row r="22" spans="1:3" x14ac:dyDescent="0.3">
      <c r="A22" s="55" t="e">
        <v>#N/A</v>
      </c>
      <c r="B22" s="51" t="s">
        <v>1591</v>
      </c>
      <c r="C22" s="51" t="s">
        <v>1592</v>
      </c>
    </row>
    <row r="23" spans="1:3" x14ac:dyDescent="0.3">
      <c r="A23" s="55" t="e">
        <v>#N/A</v>
      </c>
      <c r="B23" s="51" t="s">
        <v>1593</v>
      </c>
      <c r="C23" s="51" t="s">
        <v>1594</v>
      </c>
    </row>
    <row r="24" spans="1:3" x14ac:dyDescent="0.3">
      <c r="A24" s="55" t="e">
        <v>#N/A</v>
      </c>
      <c r="B24" s="51" t="s">
        <v>1595</v>
      </c>
      <c r="C24" s="51" t="s">
        <v>1596</v>
      </c>
    </row>
    <row r="25" spans="1:3" x14ac:dyDescent="0.3">
      <c r="A25" s="55" t="e">
        <v>#N/A</v>
      </c>
      <c r="B25" s="51" t="s">
        <v>1597</v>
      </c>
      <c r="C25" s="51" t="s">
        <v>1598</v>
      </c>
    </row>
    <row r="26" spans="1:3" x14ac:dyDescent="0.3">
      <c r="A26" s="55" t="e">
        <v>#N/A</v>
      </c>
      <c r="B26" s="51" t="s">
        <v>1599</v>
      </c>
      <c r="C26" s="51" t="s">
        <v>1600</v>
      </c>
    </row>
    <row r="27" spans="1:3" x14ac:dyDescent="0.3">
      <c r="A27" s="55" t="e">
        <v>#N/A</v>
      </c>
      <c r="B27" s="51" t="s">
        <v>1601</v>
      </c>
      <c r="C27" s="51" t="s">
        <v>1602</v>
      </c>
    </row>
    <row r="28" spans="1:3" x14ac:dyDescent="0.3">
      <c r="A28" s="55" t="e">
        <v>#N/A</v>
      </c>
      <c r="B28" s="51" t="s">
        <v>1603</v>
      </c>
      <c r="C28" s="51" t="s">
        <v>1604</v>
      </c>
    </row>
    <row r="29" spans="1:3" x14ac:dyDescent="0.3">
      <c r="A29" s="55" t="e">
        <v>#N/A</v>
      </c>
      <c r="B29" s="51" t="s">
        <v>1605</v>
      </c>
      <c r="C29" s="51" t="s">
        <v>1606</v>
      </c>
    </row>
    <row r="30" spans="1:3" x14ac:dyDescent="0.3">
      <c r="A30" s="55" t="e">
        <v>#N/A</v>
      </c>
      <c r="B30" s="51" t="s">
        <v>1607</v>
      </c>
      <c r="C30" s="51" t="s">
        <v>1608</v>
      </c>
    </row>
    <row r="31" spans="1:3" x14ac:dyDescent="0.3">
      <c r="A31" s="55" t="e">
        <v>#N/A</v>
      </c>
      <c r="B31" s="51" t="s">
        <v>1609</v>
      </c>
      <c r="C31" s="51" t="s">
        <v>1610</v>
      </c>
    </row>
    <row r="32" spans="1:3" x14ac:dyDescent="0.3">
      <c r="A32" s="55" t="e">
        <v>#N/A</v>
      </c>
      <c r="B32" s="51" t="s">
        <v>1611</v>
      </c>
      <c r="C32" s="51" t="s">
        <v>1612</v>
      </c>
    </row>
    <row r="33" spans="1:3" x14ac:dyDescent="0.3">
      <c r="A33" s="55" t="e">
        <v>#N/A</v>
      </c>
      <c r="B33" s="51" t="s">
        <v>1613</v>
      </c>
      <c r="C33" s="51" t="s">
        <v>1614</v>
      </c>
    </row>
    <row r="34" spans="1:3" x14ac:dyDescent="0.3">
      <c r="A34" s="55" t="e">
        <v>#N/A</v>
      </c>
      <c r="B34" s="51" t="s">
        <v>1615</v>
      </c>
      <c r="C34" s="51" t="s">
        <v>1616</v>
      </c>
    </row>
    <row r="35" spans="1:3" x14ac:dyDescent="0.3">
      <c r="A35" s="55" t="e">
        <v>#N/A</v>
      </c>
      <c r="B35" s="51" t="s">
        <v>1617</v>
      </c>
      <c r="C35" s="51" t="s">
        <v>1618</v>
      </c>
    </row>
    <row r="36" spans="1:3" x14ac:dyDescent="0.3">
      <c r="A36" s="55" t="e">
        <v>#N/A</v>
      </c>
      <c r="B36" s="51" t="s">
        <v>1619</v>
      </c>
      <c r="C36" s="51" t="s">
        <v>1620</v>
      </c>
    </row>
    <row r="37" spans="1:3" x14ac:dyDescent="0.3">
      <c r="A37" s="55" t="e">
        <v>#N/A</v>
      </c>
      <c r="B37" s="51" t="s">
        <v>1621</v>
      </c>
      <c r="C37" s="51" t="s">
        <v>1622</v>
      </c>
    </row>
    <row r="38" spans="1:3" x14ac:dyDescent="0.3">
      <c r="A38" s="55" t="e">
        <v>#N/A</v>
      </c>
      <c r="B38" s="51" t="s">
        <v>1623</v>
      </c>
      <c r="C38" s="51" t="s">
        <v>1624</v>
      </c>
    </row>
    <row r="39" spans="1:3" x14ac:dyDescent="0.3">
      <c r="A39" s="55" t="e">
        <v>#N/A</v>
      </c>
      <c r="B39" s="51" t="s">
        <v>1625</v>
      </c>
      <c r="C39" s="51" t="s">
        <v>1626</v>
      </c>
    </row>
    <row r="40" spans="1:3" x14ac:dyDescent="0.3">
      <c r="A40" s="55" t="e">
        <v>#N/A</v>
      </c>
      <c r="B40" s="51" t="s">
        <v>1627</v>
      </c>
      <c r="C40" s="51" t="s">
        <v>1628</v>
      </c>
    </row>
    <row r="41" spans="1:3" x14ac:dyDescent="0.3">
      <c r="A41" s="55" t="e">
        <v>#N/A</v>
      </c>
      <c r="B41" s="51" t="s">
        <v>1629</v>
      </c>
      <c r="C41" s="51" t="s">
        <v>1630</v>
      </c>
    </row>
    <row r="42" spans="1:3" x14ac:dyDescent="0.3">
      <c r="A42" s="55" t="e">
        <v>#N/A</v>
      </c>
      <c r="B42" s="51" t="s">
        <v>1631</v>
      </c>
      <c r="C42" s="51" t="s">
        <v>1632</v>
      </c>
    </row>
    <row r="43" spans="1:3" x14ac:dyDescent="0.3">
      <c r="A43" s="55" t="e">
        <v>#N/A</v>
      </c>
      <c r="B43" s="51" t="s">
        <v>1633</v>
      </c>
      <c r="C43" s="51" t="s">
        <v>1634</v>
      </c>
    </row>
    <row r="44" spans="1:3" x14ac:dyDescent="0.3">
      <c r="A44" s="55" t="e">
        <v>#N/A</v>
      </c>
      <c r="B44" s="51" t="s">
        <v>1635</v>
      </c>
      <c r="C44" s="51" t="s">
        <v>1636</v>
      </c>
    </row>
    <row r="45" spans="1:3" x14ac:dyDescent="0.3">
      <c r="A45" s="55" t="e">
        <v>#N/A</v>
      </c>
      <c r="B45" s="51" t="s">
        <v>1637</v>
      </c>
      <c r="C45" s="51" t="s">
        <v>1638</v>
      </c>
    </row>
    <row r="46" spans="1:3" x14ac:dyDescent="0.3">
      <c r="A46" s="55" t="e">
        <v>#N/A</v>
      </c>
      <c r="B46" s="51" t="s">
        <v>1639</v>
      </c>
      <c r="C46" s="51" t="s">
        <v>1640</v>
      </c>
    </row>
    <row r="47" spans="1:3" x14ac:dyDescent="0.3">
      <c r="A47" s="55" t="e">
        <v>#N/A</v>
      </c>
      <c r="B47" s="51" t="s">
        <v>1641</v>
      </c>
      <c r="C47" s="51" t="s">
        <v>1642</v>
      </c>
    </row>
    <row r="48" spans="1:3" x14ac:dyDescent="0.3">
      <c r="A48" s="55" t="e">
        <v>#N/A</v>
      </c>
      <c r="B48" s="51" t="s">
        <v>1643</v>
      </c>
      <c r="C48" s="51" t="s">
        <v>1644</v>
      </c>
    </row>
    <row r="49" spans="1:3" x14ac:dyDescent="0.3">
      <c r="A49" s="55" t="e">
        <v>#N/A</v>
      </c>
      <c r="B49" s="51" t="s">
        <v>1645</v>
      </c>
      <c r="C49" s="51" t="s">
        <v>1646</v>
      </c>
    </row>
    <row r="50" spans="1:3" x14ac:dyDescent="0.3">
      <c r="A50" s="55" t="e">
        <v>#N/A</v>
      </c>
      <c r="B50" s="51" t="s">
        <v>1647</v>
      </c>
      <c r="C50" s="51" t="s">
        <v>1648</v>
      </c>
    </row>
    <row r="51" spans="1:3" x14ac:dyDescent="0.3">
      <c r="A51" s="55" t="e">
        <v>#N/A</v>
      </c>
      <c r="B51" s="51" t="s">
        <v>1649</v>
      </c>
      <c r="C51" s="51" t="s">
        <v>1650</v>
      </c>
    </row>
    <row r="52" spans="1:3" x14ac:dyDescent="0.3">
      <c r="A52" s="55" t="e">
        <v>#N/A</v>
      </c>
      <c r="B52" s="51" t="s">
        <v>1651</v>
      </c>
      <c r="C52" s="51" t="s">
        <v>1652</v>
      </c>
    </row>
    <row r="53" spans="1:3" x14ac:dyDescent="0.3">
      <c r="A53" s="17" t="s">
        <v>16</v>
      </c>
      <c r="B53" s="51" t="s">
        <v>1653</v>
      </c>
      <c r="C53" s="51" t="s">
        <v>1654</v>
      </c>
    </row>
    <row r="54" spans="1:3" x14ac:dyDescent="0.3">
      <c r="A54" s="55" t="e">
        <v>#N/A</v>
      </c>
      <c r="B54" s="51" t="s">
        <v>1655</v>
      </c>
      <c r="C54" s="51" t="s">
        <v>1656</v>
      </c>
    </row>
    <row r="55" spans="1:3" x14ac:dyDescent="0.3">
      <c r="A55" s="55" t="e">
        <v>#N/A</v>
      </c>
      <c r="B55" s="51" t="s">
        <v>1657</v>
      </c>
      <c r="C55" s="51" t="s">
        <v>1658</v>
      </c>
    </row>
    <row r="56" spans="1:3" x14ac:dyDescent="0.3">
      <c r="A56" s="55" t="e">
        <v>#N/A</v>
      </c>
      <c r="B56" s="51" t="s">
        <v>1659</v>
      </c>
      <c r="C56" s="51" t="s">
        <v>1660</v>
      </c>
    </row>
    <row r="57" spans="1:3" x14ac:dyDescent="0.3">
      <c r="A57" s="55" t="e">
        <v>#N/A</v>
      </c>
      <c r="B57" s="51" t="s">
        <v>1661</v>
      </c>
      <c r="C57" s="51" t="s">
        <v>1662</v>
      </c>
    </row>
    <row r="58" spans="1:3" x14ac:dyDescent="0.3">
      <c r="A58" s="55" t="e">
        <v>#N/A</v>
      </c>
      <c r="B58" s="51" t="s">
        <v>1663</v>
      </c>
      <c r="C58" s="51" t="s">
        <v>1664</v>
      </c>
    </row>
    <row r="59" spans="1:3" x14ac:dyDescent="0.3">
      <c r="A59" s="55" t="e">
        <v>#N/A</v>
      </c>
      <c r="B59" s="51" t="s">
        <v>1665</v>
      </c>
      <c r="C59" s="51" t="s">
        <v>1666</v>
      </c>
    </row>
    <row r="60" spans="1:3" x14ac:dyDescent="0.3">
      <c r="A60" s="55" t="e">
        <v>#N/A</v>
      </c>
      <c r="B60" s="51" t="s">
        <v>1667</v>
      </c>
      <c r="C60" s="51" t="s">
        <v>1668</v>
      </c>
    </row>
    <row r="61" spans="1:3" x14ac:dyDescent="0.3">
      <c r="A61" s="55" t="e">
        <v>#N/A</v>
      </c>
      <c r="B61" s="51" t="s">
        <v>1669</v>
      </c>
      <c r="C61" s="51" t="s">
        <v>1670</v>
      </c>
    </row>
    <row r="62" spans="1:3" x14ac:dyDescent="0.3">
      <c r="A62" s="55" t="e">
        <v>#N/A</v>
      </c>
      <c r="B62" s="51" t="s">
        <v>1671</v>
      </c>
      <c r="C62" s="51" t="s">
        <v>1672</v>
      </c>
    </row>
    <row r="63" spans="1:3" x14ac:dyDescent="0.3">
      <c r="A63" s="55" t="e">
        <v>#N/A</v>
      </c>
      <c r="B63" s="51" t="s">
        <v>1673</v>
      </c>
      <c r="C63" s="51" t="s">
        <v>1674</v>
      </c>
    </row>
    <row r="64" spans="1:3" x14ac:dyDescent="0.3">
      <c r="A64" s="55" t="e">
        <v>#N/A</v>
      </c>
      <c r="B64" s="51" t="s">
        <v>1675</v>
      </c>
      <c r="C64" s="51" t="s">
        <v>1676</v>
      </c>
    </row>
    <row r="65" spans="1:3" x14ac:dyDescent="0.3">
      <c r="A65" s="55" t="e">
        <v>#N/A</v>
      </c>
      <c r="B65" s="51" t="s">
        <v>1677</v>
      </c>
      <c r="C65" s="51" t="s">
        <v>1678</v>
      </c>
    </row>
    <row r="66" spans="1:3" x14ac:dyDescent="0.3">
      <c r="A66" s="55" t="e">
        <v>#N/A</v>
      </c>
      <c r="B66" s="51" t="s">
        <v>1679</v>
      </c>
      <c r="C66" s="51" t="s">
        <v>1680</v>
      </c>
    </row>
    <row r="67" spans="1:3" x14ac:dyDescent="0.3">
      <c r="A67" s="55" t="e">
        <v>#N/A</v>
      </c>
      <c r="B67" s="51" t="s">
        <v>1681</v>
      </c>
      <c r="C67" s="51" t="s">
        <v>1682</v>
      </c>
    </row>
    <row r="68" spans="1:3" x14ac:dyDescent="0.3">
      <c r="A68" s="55" t="e">
        <v>#N/A</v>
      </c>
      <c r="B68" s="51" t="s">
        <v>1683</v>
      </c>
      <c r="C68" s="51" t="s">
        <v>1684</v>
      </c>
    </row>
    <row r="69" spans="1:3" x14ac:dyDescent="0.3">
      <c r="A69" s="55" t="e">
        <v>#N/A</v>
      </c>
      <c r="B69" s="51" t="s">
        <v>1685</v>
      </c>
      <c r="C69" s="51" t="s">
        <v>1686</v>
      </c>
    </row>
    <row r="70" spans="1:3" x14ac:dyDescent="0.3">
      <c r="A70" s="55" t="e">
        <v>#N/A</v>
      </c>
      <c r="B70" s="51" t="s">
        <v>1687</v>
      </c>
      <c r="C70" s="51" t="s">
        <v>1688</v>
      </c>
    </row>
    <row r="71" spans="1:3" x14ac:dyDescent="0.3">
      <c r="A71" s="55" t="e">
        <v>#N/A</v>
      </c>
      <c r="B71" s="51" t="s">
        <v>1689</v>
      </c>
      <c r="C71" s="51" t="s">
        <v>1690</v>
      </c>
    </row>
    <row r="72" spans="1:3" x14ac:dyDescent="0.3">
      <c r="A72" s="55" t="e">
        <v>#N/A</v>
      </c>
      <c r="B72" s="51" t="s">
        <v>1691</v>
      </c>
      <c r="C72" s="51" t="s">
        <v>1692</v>
      </c>
    </row>
    <row r="73" spans="1:3" x14ac:dyDescent="0.3">
      <c r="A73" s="55" t="e">
        <v>#N/A</v>
      </c>
      <c r="B73" s="51" t="s">
        <v>1693</v>
      </c>
      <c r="C73" s="51" t="s">
        <v>1694</v>
      </c>
    </row>
    <row r="74" spans="1:3" x14ac:dyDescent="0.3">
      <c r="A74" s="55" t="e">
        <v>#N/A</v>
      </c>
      <c r="B74" s="51" t="s">
        <v>1695</v>
      </c>
      <c r="C74" s="51" t="s">
        <v>1696</v>
      </c>
    </row>
    <row r="75" spans="1:3" x14ac:dyDescent="0.3">
      <c r="A75" s="55" t="e">
        <v>#N/A</v>
      </c>
      <c r="B75" s="51" t="s">
        <v>1697</v>
      </c>
      <c r="C75" s="51" t="s">
        <v>1698</v>
      </c>
    </row>
    <row r="76" spans="1:3" x14ac:dyDescent="0.3">
      <c r="A76" s="55" t="e">
        <v>#N/A</v>
      </c>
      <c r="B76" s="51" t="s">
        <v>1699</v>
      </c>
      <c r="C76" s="51" t="s">
        <v>1700</v>
      </c>
    </row>
    <row r="77" spans="1:3" x14ac:dyDescent="0.3">
      <c r="A77" s="55" t="e">
        <v>#N/A</v>
      </c>
      <c r="B77" s="51" t="s">
        <v>1701</v>
      </c>
      <c r="C77" s="51" t="s">
        <v>1702</v>
      </c>
    </row>
    <row r="78" spans="1:3" x14ac:dyDescent="0.3">
      <c r="A78" s="55" t="e">
        <v>#N/A</v>
      </c>
      <c r="B78" s="51" t="s">
        <v>1703</v>
      </c>
      <c r="C78" s="51" t="s">
        <v>1704</v>
      </c>
    </row>
    <row r="79" spans="1:3" x14ac:dyDescent="0.3">
      <c r="A79" s="55" t="e">
        <v>#N/A</v>
      </c>
      <c r="B79" s="51" t="s">
        <v>1705</v>
      </c>
      <c r="C79" s="51" t="s">
        <v>1706</v>
      </c>
    </row>
    <row r="80" spans="1:3" x14ac:dyDescent="0.3">
      <c r="A80" s="55" t="e">
        <v>#N/A</v>
      </c>
      <c r="B80" s="51" t="s">
        <v>1707</v>
      </c>
      <c r="C80" s="51" t="s">
        <v>1708</v>
      </c>
    </row>
    <row r="81" spans="1:3" x14ac:dyDescent="0.3">
      <c r="A81" s="55" t="e">
        <v>#N/A</v>
      </c>
      <c r="B81" s="51" t="s">
        <v>1709</v>
      </c>
      <c r="C81" s="51" t="s">
        <v>1710</v>
      </c>
    </row>
    <row r="82" spans="1:3" x14ac:dyDescent="0.3">
      <c r="A82" s="55" t="e">
        <v>#N/A</v>
      </c>
      <c r="B82" s="51" t="s">
        <v>1711</v>
      </c>
      <c r="C82" s="51" t="s">
        <v>1712</v>
      </c>
    </row>
    <row r="83" spans="1:3" x14ac:dyDescent="0.3">
      <c r="A83" s="55" t="e">
        <v>#N/A</v>
      </c>
      <c r="B83" s="51" t="s">
        <v>1713</v>
      </c>
      <c r="C83" s="51" t="s">
        <v>1714</v>
      </c>
    </row>
    <row r="84" spans="1:3" x14ac:dyDescent="0.3">
      <c r="A84" s="55" t="e">
        <v>#N/A</v>
      </c>
      <c r="B84" s="51" t="s">
        <v>1715</v>
      </c>
      <c r="C84" s="51" t="s">
        <v>1716</v>
      </c>
    </row>
    <row r="85" spans="1:3" x14ac:dyDescent="0.3">
      <c r="A85" s="55" t="e">
        <v>#N/A</v>
      </c>
      <c r="B85" s="51" t="s">
        <v>1717</v>
      </c>
      <c r="C85" s="51" t="s">
        <v>1718</v>
      </c>
    </row>
    <row r="86" spans="1:3" x14ac:dyDescent="0.3">
      <c r="A86" s="55" t="s">
        <v>1719</v>
      </c>
      <c r="B86" s="51" t="s">
        <v>1720</v>
      </c>
      <c r="C86" s="51" t="s">
        <v>1721</v>
      </c>
    </row>
    <row r="87" spans="1:3" x14ac:dyDescent="0.3">
      <c r="A87" s="55" t="s">
        <v>1547</v>
      </c>
      <c r="B87" s="51" t="s">
        <v>1722</v>
      </c>
      <c r="C87" s="51" t="s">
        <v>1723</v>
      </c>
    </row>
    <row r="88" spans="1:3" x14ac:dyDescent="0.3">
      <c r="A88" s="55" t="s">
        <v>1724</v>
      </c>
      <c r="B88" s="51" t="s">
        <v>1725</v>
      </c>
      <c r="C88" s="51" t="s">
        <v>1726</v>
      </c>
    </row>
    <row r="89" spans="1:3" x14ac:dyDescent="0.3">
      <c r="A89" s="55" t="s">
        <v>1538</v>
      </c>
      <c r="B89" s="51" t="s">
        <v>1727</v>
      </c>
      <c r="C89" s="51" t="s">
        <v>1728</v>
      </c>
    </row>
    <row r="90" spans="1:3" x14ac:dyDescent="0.3">
      <c r="A90" s="55" t="s">
        <v>1523</v>
      </c>
      <c r="B90" s="51" t="s">
        <v>1729</v>
      </c>
      <c r="C90" s="51" t="s">
        <v>1730</v>
      </c>
    </row>
    <row r="91" spans="1:3" x14ac:dyDescent="0.3">
      <c r="A91" s="55" t="s">
        <v>1322</v>
      </c>
      <c r="B91" s="51" t="s">
        <v>1731</v>
      </c>
      <c r="C91" s="51" t="s">
        <v>1732</v>
      </c>
    </row>
    <row r="92" spans="1:3" x14ac:dyDescent="0.3">
      <c r="A92" s="55" t="s">
        <v>1519</v>
      </c>
      <c r="B92" s="51" t="s">
        <v>1733</v>
      </c>
      <c r="C92" s="51" t="s">
        <v>1734</v>
      </c>
    </row>
    <row r="93" spans="1:3" x14ac:dyDescent="0.3">
      <c r="A93" s="55" t="s">
        <v>1329</v>
      </c>
      <c r="B93" s="51" t="s">
        <v>1735</v>
      </c>
      <c r="C93" s="51" t="s">
        <v>1736</v>
      </c>
    </row>
    <row r="94" spans="1:3" x14ac:dyDescent="0.3">
      <c r="A94" s="55" t="s">
        <v>1253</v>
      </c>
      <c r="B94" s="51" t="s">
        <v>1737</v>
      </c>
      <c r="C94" s="51" t="s">
        <v>1738</v>
      </c>
    </row>
    <row r="95" spans="1:3" x14ac:dyDescent="0.3">
      <c r="A95" s="55" t="s">
        <v>1235</v>
      </c>
      <c r="B95" s="51" t="s">
        <v>1739</v>
      </c>
      <c r="C95" s="51" t="s">
        <v>1740</v>
      </c>
    </row>
    <row r="96" spans="1:3" x14ac:dyDescent="0.3">
      <c r="A96" s="55" t="s">
        <v>1512</v>
      </c>
      <c r="B96" s="51" t="s">
        <v>1741</v>
      </c>
      <c r="C96" s="51" t="s">
        <v>1742</v>
      </c>
    </row>
    <row r="97" spans="1:3" x14ac:dyDescent="0.3">
      <c r="A97" s="55" t="s">
        <v>1325</v>
      </c>
      <c r="B97" s="51" t="s">
        <v>1743</v>
      </c>
      <c r="C97" s="51" t="s">
        <v>1744</v>
      </c>
    </row>
    <row r="98" spans="1:3" x14ac:dyDescent="0.3">
      <c r="A98" s="55" t="s">
        <v>1197</v>
      </c>
      <c r="B98" s="51" t="s">
        <v>1745</v>
      </c>
      <c r="C98" s="51" t="s">
        <v>1746</v>
      </c>
    </row>
    <row r="99" spans="1:3" x14ac:dyDescent="0.3">
      <c r="A99" s="55" t="s">
        <v>1274</v>
      </c>
      <c r="B99" s="51" t="s">
        <v>1747</v>
      </c>
      <c r="C99" s="51" t="s">
        <v>1748</v>
      </c>
    </row>
    <row r="100" spans="1:3" x14ac:dyDescent="0.3">
      <c r="A100" s="55" t="s">
        <v>1261</v>
      </c>
      <c r="B100" s="51" t="s">
        <v>1749</v>
      </c>
      <c r="C100" s="51" t="s">
        <v>1750</v>
      </c>
    </row>
    <row r="101" spans="1:3" x14ac:dyDescent="0.3">
      <c r="A101" s="55" t="s">
        <v>1306</v>
      </c>
      <c r="B101" s="51" t="s">
        <v>1751</v>
      </c>
      <c r="C101" s="51" t="s">
        <v>1752</v>
      </c>
    </row>
    <row r="102" spans="1:3" x14ac:dyDescent="0.3">
      <c r="A102" s="55" t="s">
        <v>1297</v>
      </c>
      <c r="B102" s="51" t="s">
        <v>1753</v>
      </c>
      <c r="C102" s="51" t="s">
        <v>1754</v>
      </c>
    </row>
    <row r="103" spans="1:3" x14ac:dyDescent="0.3">
      <c r="A103" s="55" t="s">
        <v>1321</v>
      </c>
      <c r="B103" s="51" t="s">
        <v>1755</v>
      </c>
      <c r="C103" s="51" t="s">
        <v>1756</v>
      </c>
    </row>
    <row r="104" spans="1:3" x14ac:dyDescent="0.3">
      <c r="A104" s="55" t="s">
        <v>1339</v>
      </c>
      <c r="B104" s="51" t="s">
        <v>1757</v>
      </c>
      <c r="C104" s="51" t="s">
        <v>1758</v>
      </c>
    </row>
    <row r="105" spans="1:3" x14ac:dyDescent="0.3">
      <c r="A105" s="55" t="s">
        <v>1257</v>
      </c>
      <c r="B105" s="51" t="s">
        <v>1759</v>
      </c>
      <c r="C105" s="51" t="s">
        <v>1760</v>
      </c>
    </row>
    <row r="106" spans="1:3" x14ac:dyDescent="0.3">
      <c r="A106" s="55" t="s">
        <v>1314</v>
      </c>
      <c r="B106" s="51" t="s">
        <v>1761</v>
      </c>
      <c r="C106" s="51" t="s">
        <v>1762</v>
      </c>
    </row>
    <row r="107" spans="1:3" x14ac:dyDescent="0.3">
      <c r="A107" s="55" t="s">
        <v>1493</v>
      </c>
      <c r="B107" s="51" t="s">
        <v>1763</v>
      </c>
      <c r="C107" s="51" t="s">
        <v>1764</v>
      </c>
    </row>
    <row r="108" spans="1:3" x14ac:dyDescent="0.3">
      <c r="A108" s="55" t="s">
        <v>1278</v>
      </c>
      <c r="B108" s="51" t="s">
        <v>1765</v>
      </c>
      <c r="C108" s="51" t="s">
        <v>1766</v>
      </c>
    </row>
    <row r="109" spans="1:3" x14ac:dyDescent="0.3">
      <c r="A109" s="55" t="s">
        <v>1249</v>
      </c>
      <c r="B109" s="51" t="s">
        <v>1767</v>
      </c>
      <c r="C109" s="51" t="s">
        <v>1768</v>
      </c>
    </row>
    <row r="110" spans="1:3" x14ac:dyDescent="0.3">
      <c r="A110" s="55" t="s">
        <v>1222</v>
      </c>
      <c r="B110" s="51" t="s">
        <v>1769</v>
      </c>
      <c r="C110" s="51" t="s">
        <v>1770</v>
      </c>
    </row>
    <row r="111" spans="1:3" x14ac:dyDescent="0.3">
      <c r="A111" s="55" t="s">
        <v>1195</v>
      </c>
      <c r="B111" s="51" t="s">
        <v>1771</v>
      </c>
      <c r="C111" s="51" t="s">
        <v>1772</v>
      </c>
    </row>
    <row r="112" spans="1:3" x14ac:dyDescent="0.3">
      <c r="A112" s="55" t="s">
        <v>1211</v>
      </c>
      <c r="B112" s="51" t="s">
        <v>1773</v>
      </c>
      <c r="C112" s="51" t="s">
        <v>1774</v>
      </c>
    </row>
    <row r="113" spans="1:3" x14ac:dyDescent="0.3">
      <c r="A113" s="55" t="s">
        <v>1477</v>
      </c>
      <c r="B113" s="51" t="s">
        <v>1775</v>
      </c>
      <c r="C113" s="51" t="s">
        <v>1776</v>
      </c>
    </row>
    <row r="114" spans="1:3" x14ac:dyDescent="0.3">
      <c r="A114" s="55" t="s">
        <v>1251</v>
      </c>
      <c r="B114" s="51" t="s">
        <v>1777</v>
      </c>
      <c r="C114" s="51" t="s">
        <v>1778</v>
      </c>
    </row>
    <row r="115" spans="1:3" x14ac:dyDescent="0.3">
      <c r="A115" s="55" t="s">
        <v>1217</v>
      </c>
      <c r="B115" s="51" t="s">
        <v>1779</v>
      </c>
      <c r="C115" s="51" t="s">
        <v>1780</v>
      </c>
    </row>
    <row r="116" spans="1:3" x14ac:dyDescent="0.3">
      <c r="A116" s="55" t="s">
        <v>1255</v>
      </c>
      <c r="B116" s="51" t="s">
        <v>1781</v>
      </c>
      <c r="C116" s="51" t="s">
        <v>1782</v>
      </c>
    </row>
    <row r="117" spans="1:3" x14ac:dyDescent="0.3">
      <c r="A117" s="55" t="s">
        <v>1199</v>
      </c>
      <c r="B117" s="51" t="s">
        <v>1783</v>
      </c>
      <c r="C117" s="51" t="s">
        <v>1784</v>
      </c>
    </row>
    <row r="118" spans="1:3" x14ac:dyDescent="0.3">
      <c r="A118" s="55" t="s">
        <v>1304</v>
      </c>
      <c r="B118" s="51" t="s">
        <v>1785</v>
      </c>
      <c r="C118" s="51" t="s">
        <v>1786</v>
      </c>
    </row>
    <row r="119" spans="1:3" x14ac:dyDescent="0.3">
      <c r="A119" s="55" t="s">
        <v>1213</v>
      </c>
      <c r="B119" s="51" t="s">
        <v>1787</v>
      </c>
      <c r="C119" s="51" t="s">
        <v>1788</v>
      </c>
    </row>
    <row r="120" spans="1:3" x14ac:dyDescent="0.3">
      <c r="A120" s="55" t="s">
        <v>1241</v>
      </c>
      <c r="B120" s="51" t="s">
        <v>1789</v>
      </c>
      <c r="C120" s="51" t="s">
        <v>1790</v>
      </c>
    </row>
    <row r="121" spans="1:3" x14ac:dyDescent="0.3">
      <c r="A121" s="55" t="s">
        <v>1205</v>
      </c>
      <c r="B121" s="51" t="s">
        <v>1791</v>
      </c>
      <c r="C121" s="51" t="s">
        <v>1792</v>
      </c>
    </row>
    <row r="122" spans="1:3" x14ac:dyDescent="0.3">
      <c r="A122" s="55" t="s">
        <v>1201</v>
      </c>
      <c r="B122" s="51" t="s">
        <v>1793</v>
      </c>
      <c r="C122" s="51" t="s">
        <v>1794</v>
      </c>
    </row>
    <row r="123" spans="1:3" x14ac:dyDescent="0.3">
      <c r="A123" s="55" t="s">
        <v>1207</v>
      </c>
      <c r="B123" s="51" t="s">
        <v>1795</v>
      </c>
      <c r="C123" s="51" t="s">
        <v>1796</v>
      </c>
    </row>
    <row r="124" spans="1:3" x14ac:dyDescent="0.3">
      <c r="A124" s="55" t="s">
        <v>1276</v>
      </c>
      <c r="B124" s="51" t="s">
        <v>1797</v>
      </c>
      <c r="C124" s="51" t="s">
        <v>1798</v>
      </c>
    </row>
    <row r="125" spans="1:3" x14ac:dyDescent="0.3">
      <c r="A125" s="55" t="s">
        <v>1270</v>
      </c>
      <c r="B125" s="51" t="s">
        <v>1799</v>
      </c>
      <c r="C125" s="51" t="s">
        <v>1800</v>
      </c>
    </row>
    <row r="126" spans="1:3" x14ac:dyDescent="0.3">
      <c r="A126" s="55" t="s">
        <v>1327</v>
      </c>
      <c r="B126" s="51" t="s">
        <v>1801</v>
      </c>
      <c r="C126" s="51" t="s">
        <v>1802</v>
      </c>
    </row>
    <row r="127" spans="1:3" x14ac:dyDescent="0.3">
      <c r="A127" s="55" t="s">
        <v>1262</v>
      </c>
      <c r="B127" s="51" t="s">
        <v>1803</v>
      </c>
      <c r="C127" s="51" t="s">
        <v>1804</v>
      </c>
    </row>
    <row r="128" spans="1:3" x14ac:dyDescent="0.3">
      <c r="A128" s="55" t="s">
        <v>1286</v>
      </c>
      <c r="B128" s="51" t="s">
        <v>1805</v>
      </c>
      <c r="C128" s="51" t="s">
        <v>1806</v>
      </c>
    </row>
    <row r="129" spans="1:3" x14ac:dyDescent="0.3">
      <c r="A129" s="55" t="s">
        <v>1263</v>
      </c>
      <c r="B129" s="51" t="s">
        <v>1807</v>
      </c>
      <c r="C129" s="51" t="s">
        <v>1808</v>
      </c>
    </row>
    <row r="130" spans="1:3" x14ac:dyDescent="0.3">
      <c r="A130" s="55" t="s">
        <v>1272</v>
      </c>
      <c r="B130" s="51" t="s">
        <v>1809</v>
      </c>
      <c r="C130" s="51" t="s">
        <v>1810</v>
      </c>
    </row>
    <row r="131" spans="1:3" x14ac:dyDescent="0.3">
      <c r="A131" s="55" t="s">
        <v>1268</v>
      </c>
      <c r="B131" s="51" t="s">
        <v>1811</v>
      </c>
      <c r="C131" s="51" t="s">
        <v>1812</v>
      </c>
    </row>
    <row r="132" spans="1:3" x14ac:dyDescent="0.3">
      <c r="A132" s="55" t="s">
        <v>1266</v>
      </c>
      <c r="B132" s="51" t="s">
        <v>1813</v>
      </c>
      <c r="C132" s="51" t="s">
        <v>1814</v>
      </c>
    </row>
    <row r="133" spans="1:3" x14ac:dyDescent="0.3">
      <c r="A133" s="55" t="s">
        <v>1233</v>
      </c>
      <c r="B133" s="51" t="s">
        <v>1815</v>
      </c>
      <c r="C133" s="51" t="s">
        <v>1816</v>
      </c>
    </row>
    <row r="134" spans="1:3" x14ac:dyDescent="0.3">
      <c r="A134" s="55" t="s">
        <v>1331</v>
      </c>
      <c r="B134" s="51" t="s">
        <v>1817</v>
      </c>
      <c r="C134" s="51" t="s">
        <v>1818</v>
      </c>
    </row>
    <row r="135" spans="1:3" x14ac:dyDescent="0.3">
      <c r="A135" s="55" t="s">
        <v>1290</v>
      </c>
      <c r="B135" s="51" t="s">
        <v>1819</v>
      </c>
      <c r="C135" s="51" t="s">
        <v>1820</v>
      </c>
    </row>
    <row r="136" spans="1:3" x14ac:dyDescent="0.3">
      <c r="A136" s="55" t="s">
        <v>1243</v>
      </c>
      <c r="B136" s="51" t="s">
        <v>1821</v>
      </c>
      <c r="C136" s="51" t="s">
        <v>1822</v>
      </c>
    </row>
    <row r="137" spans="1:3" x14ac:dyDescent="0.3">
      <c r="A137" s="55" t="s">
        <v>1237</v>
      </c>
      <c r="B137" s="51" t="s">
        <v>1823</v>
      </c>
      <c r="C137" s="51" t="s">
        <v>1824</v>
      </c>
    </row>
    <row r="138" spans="1:3" x14ac:dyDescent="0.3">
      <c r="A138" s="55" t="s">
        <v>1229</v>
      </c>
      <c r="B138" s="51" t="s">
        <v>1825</v>
      </c>
      <c r="C138" s="51" t="s">
        <v>1826</v>
      </c>
    </row>
    <row r="139" spans="1:3" x14ac:dyDescent="0.3">
      <c r="A139" s="55" t="s">
        <v>1318</v>
      </c>
      <c r="B139" s="51" t="s">
        <v>1827</v>
      </c>
      <c r="C139" s="51" t="s">
        <v>1828</v>
      </c>
    </row>
    <row r="140" spans="1:3" x14ac:dyDescent="0.3">
      <c r="A140" s="55" t="s">
        <v>1302</v>
      </c>
      <c r="B140" s="51" t="s">
        <v>1829</v>
      </c>
      <c r="C140" s="51" t="s">
        <v>1830</v>
      </c>
    </row>
    <row r="141" spans="1:3" x14ac:dyDescent="0.3">
      <c r="A141" s="55" t="s">
        <v>1434</v>
      </c>
      <c r="B141" s="51" t="s">
        <v>1831</v>
      </c>
      <c r="C141" s="51" t="s">
        <v>1832</v>
      </c>
    </row>
    <row r="142" spans="1:3" x14ac:dyDescent="0.3">
      <c r="A142" s="55" t="s">
        <v>1319</v>
      </c>
      <c r="B142" s="51" t="s">
        <v>1833</v>
      </c>
      <c r="C142" s="51" t="s">
        <v>1834</v>
      </c>
    </row>
    <row r="143" spans="1:3" x14ac:dyDescent="0.3">
      <c r="A143" s="55" t="s">
        <v>1835</v>
      </c>
      <c r="B143" s="51" t="s">
        <v>1836</v>
      </c>
      <c r="C143" s="51" t="s">
        <v>1837</v>
      </c>
    </row>
    <row r="144" spans="1:3" x14ac:dyDescent="0.3">
      <c r="A144" s="55" t="s">
        <v>1426</v>
      </c>
      <c r="B144" s="51" t="s">
        <v>1838</v>
      </c>
      <c r="C144" s="51" t="s">
        <v>1839</v>
      </c>
    </row>
    <row r="145" spans="1:3" x14ac:dyDescent="0.3">
      <c r="A145" s="55" t="s">
        <v>1239</v>
      </c>
      <c r="B145" s="51" t="s">
        <v>1840</v>
      </c>
      <c r="C145" s="51" t="s">
        <v>1841</v>
      </c>
    </row>
    <row r="146" spans="1:3" x14ac:dyDescent="0.3">
      <c r="A146" s="55" t="s">
        <v>1203</v>
      </c>
      <c r="B146" s="51" t="s">
        <v>1842</v>
      </c>
      <c r="C146" s="51" t="s">
        <v>1843</v>
      </c>
    </row>
    <row r="147" spans="1:3" x14ac:dyDescent="0.3">
      <c r="A147" s="55" t="s">
        <v>1312</v>
      </c>
      <c r="B147" s="51" t="s">
        <v>1844</v>
      </c>
      <c r="C147" s="51" t="s">
        <v>1845</v>
      </c>
    </row>
    <row r="148" spans="1:3" x14ac:dyDescent="0.3">
      <c r="A148" s="55" t="s">
        <v>1259</v>
      </c>
      <c r="B148" s="51" t="s">
        <v>1846</v>
      </c>
      <c r="C148" s="51" t="s">
        <v>1847</v>
      </c>
    </row>
    <row r="149" spans="1:3" x14ac:dyDescent="0.3">
      <c r="A149" s="55" t="s">
        <v>1226</v>
      </c>
      <c r="B149" s="51" t="s">
        <v>1848</v>
      </c>
      <c r="C149" s="51" t="s">
        <v>1849</v>
      </c>
    </row>
    <row r="150" spans="1:3" x14ac:dyDescent="0.3">
      <c r="A150" s="55" t="s">
        <v>1245</v>
      </c>
      <c r="B150" s="51" t="s">
        <v>1850</v>
      </c>
      <c r="C150" s="51" t="s">
        <v>1851</v>
      </c>
    </row>
    <row r="151" spans="1:3" x14ac:dyDescent="0.3">
      <c r="A151" s="55" t="s">
        <v>1282</v>
      </c>
      <c r="B151" s="51" t="s">
        <v>1852</v>
      </c>
      <c r="C151" s="51" t="s">
        <v>1853</v>
      </c>
    </row>
    <row r="152" spans="1:3" x14ac:dyDescent="0.3">
      <c r="A152" s="55" t="s">
        <v>1193</v>
      </c>
      <c r="B152" s="51" t="s">
        <v>1854</v>
      </c>
      <c r="C152" s="51" t="s">
        <v>1855</v>
      </c>
    </row>
    <row r="153" spans="1:3" x14ac:dyDescent="0.3">
      <c r="A153" s="55" t="s">
        <v>1293</v>
      </c>
      <c r="B153" s="51" t="s">
        <v>1856</v>
      </c>
      <c r="C153" s="51" t="s">
        <v>1857</v>
      </c>
    </row>
    <row r="154" spans="1:3" x14ac:dyDescent="0.3">
      <c r="A154" s="55" t="s">
        <v>1299</v>
      </c>
      <c r="B154" s="51" t="s">
        <v>1858</v>
      </c>
      <c r="C154" s="51" t="s">
        <v>1859</v>
      </c>
    </row>
    <row r="155" spans="1:3" x14ac:dyDescent="0.3">
      <c r="A155" s="55" t="s">
        <v>1247</v>
      </c>
      <c r="B155" s="51" t="s">
        <v>1860</v>
      </c>
      <c r="C155" s="51" t="s">
        <v>1861</v>
      </c>
    </row>
    <row r="156" spans="1:3" x14ac:dyDescent="0.3">
      <c r="A156" s="55" t="s">
        <v>1413</v>
      </c>
      <c r="B156" s="51" t="s">
        <v>1862</v>
      </c>
      <c r="C156" s="51" t="s">
        <v>1863</v>
      </c>
    </row>
    <row r="157" spans="1:3" x14ac:dyDescent="0.3">
      <c r="A157" s="55" t="s">
        <v>1309</v>
      </c>
      <c r="B157" s="51" t="s">
        <v>1864</v>
      </c>
      <c r="C157" s="51" t="s">
        <v>1865</v>
      </c>
    </row>
    <row r="158" spans="1:3" x14ac:dyDescent="0.3">
      <c r="A158" s="55" t="s">
        <v>1219</v>
      </c>
      <c r="B158" s="51" t="s">
        <v>1866</v>
      </c>
      <c r="C158" s="51" t="s">
        <v>1867</v>
      </c>
    </row>
    <row r="159" spans="1:3" x14ac:dyDescent="0.3">
      <c r="A159" s="55" t="s">
        <v>1287</v>
      </c>
      <c r="B159" s="51" t="s">
        <v>1868</v>
      </c>
      <c r="C159" s="51" t="s">
        <v>1869</v>
      </c>
    </row>
    <row r="160" spans="1:3" x14ac:dyDescent="0.3">
      <c r="A160" s="55" t="s">
        <v>1292</v>
      </c>
      <c r="B160" s="51" t="s">
        <v>1870</v>
      </c>
      <c r="C160" s="51" t="s">
        <v>1871</v>
      </c>
    </row>
    <row r="161" spans="1:3" x14ac:dyDescent="0.3">
      <c r="A161" s="55" t="s">
        <v>1403</v>
      </c>
      <c r="B161" s="51" t="s">
        <v>1872</v>
      </c>
      <c r="C161" s="51" t="s">
        <v>1873</v>
      </c>
    </row>
    <row r="162" spans="1:3" x14ac:dyDescent="0.3">
      <c r="A162" s="55" t="s">
        <v>1400</v>
      </c>
      <c r="B162" s="51" t="s">
        <v>1874</v>
      </c>
      <c r="C162" s="51" t="s">
        <v>1875</v>
      </c>
    </row>
    <row r="163" spans="1:3" x14ac:dyDescent="0.3">
      <c r="A163" s="55" t="s">
        <v>1336</v>
      </c>
      <c r="B163" s="51" t="s">
        <v>1876</v>
      </c>
      <c r="C163" s="51" t="s">
        <v>1877</v>
      </c>
    </row>
    <row r="164" spans="1:3" x14ac:dyDescent="0.3">
      <c r="A164" s="55" t="s">
        <v>1227</v>
      </c>
      <c r="B164" s="51" t="s">
        <v>1878</v>
      </c>
      <c r="C164" s="51" t="s">
        <v>1879</v>
      </c>
    </row>
    <row r="165" spans="1:3" x14ac:dyDescent="0.3">
      <c r="A165" s="55" t="s">
        <v>1224</v>
      </c>
      <c r="B165" s="51" t="s">
        <v>1880</v>
      </c>
      <c r="C165" s="51" t="s">
        <v>1881</v>
      </c>
    </row>
    <row r="166" spans="1:3" x14ac:dyDescent="0.3">
      <c r="A166" s="55" t="s">
        <v>1311</v>
      </c>
      <c r="B166" s="51" t="s">
        <v>1882</v>
      </c>
      <c r="C166" s="51" t="s">
        <v>1883</v>
      </c>
    </row>
    <row r="167" spans="1:3" x14ac:dyDescent="0.3">
      <c r="A167" s="55" t="s">
        <v>1209</v>
      </c>
      <c r="B167" s="51" t="s">
        <v>1884</v>
      </c>
      <c r="C167" s="51" t="s">
        <v>1885</v>
      </c>
    </row>
    <row r="168" spans="1:3" x14ac:dyDescent="0.3">
      <c r="A168" s="55" t="s">
        <v>1540</v>
      </c>
      <c r="B168" s="51" t="s">
        <v>1886</v>
      </c>
      <c r="C168" s="51" t="s">
        <v>1887</v>
      </c>
    </row>
    <row r="169" spans="1:3" x14ac:dyDescent="0.3">
      <c r="A169" s="55" t="s">
        <v>1390</v>
      </c>
      <c r="B169" s="51" t="s">
        <v>1888</v>
      </c>
      <c r="C169" s="51" t="s">
        <v>1889</v>
      </c>
    </row>
    <row r="170" spans="1:3" x14ac:dyDescent="0.3">
      <c r="A170" s="55" t="s">
        <v>1280</v>
      </c>
      <c r="B170" s="51" t="s">
        <v>1890</v>
      </c>
      <c r="C170" s="51" t="s">
        <v>1891</v>
      </c>
    </row>
    <row r="171" spans="1:3" x14ac:dyDescent="0.3">
      <c r="A171" s="55" t="s">
        <v>1215</v>
      </c>
      <c r="B171" s="51" t="s">
        <v>1892</v>
      </c>
      <c r="C171" s="51" t="s">
        <v>1893</v>
      </c>
    </row>
    <row r="172" spans="1:3" x14ac:dyDescent="0.3">
      <c r="A172" s="55" t="s">
        <v>833</v>
      </c>
      <c r="B172" s="51" t="s">
        <v>1894</v>
      </c>
      <c r="C172" s="51" t="s">
        <v>1895</v>
      </c>
    </row>
    <row r="173" spans="1:3" x14ac:dyDescent="0.3">
      <c r="A173" s="55" t="s">
        <v>1384</v>
      </c>
      <c r="B173" s="51" t="s">
        <v>1896</v>
      </c>
      <c r="C173" s="51" t="s">
        <v>1897</v>
      </c>
    </row>
    <row r="174" spans="1:3" x14ac:dyDescent="0.3">
      <c r="A174" s="55" t="s">
        <v>1382</v>
      </c>
      <c r="B174" s="51" t="s">
        <v>1898</v>
      </c>
      <c r="C174" s="51" t="s">
        <v>1899</v>
      </c>
    </row>
    <row r="175" spans="1:3" x14ac:dyDescent="0.3">
      <c r="A175" s="55" t="s">
        <v>806</v>
      </c>
      <c r="B175" s="51" t="s">
        <v>1900</v>
      </c>
      <c r="C175" s="51" t="s">
        <v>1901</v>
      </c>
    </row>
    <row r="176" spans="1:3" x14ac:dyDescent="0.3">
      <c r="A176" s="55" t="s">
        <v>1902</v>
      </c>
      <c r="B176" s="51" t="s">
        <v>1903</v>
      </c>
      <c r="C176" s="51" t="s">
        <v>1904</v>
      </c>
    </row>
    <row r="177" spans="1:3" x14ac:dyDescent="0.3">
      <c r="A177" s="55" t="s">
        <v>804</v>
      </c>
      <c r="B177" s="51" t="s">
        <v>1905</v>
      </c>
      <c r="C177" s="51" t="s">
        <v>1906</v>
      </c>
    </row>
    <row r="178" spans="1:3" x14ac:dyDescent="0.3">
      <c r="A178" s="55" t="s">
        <v>1907</v>
      </c>
      <c r="B178" s="51" t="s">
        <v>1908</v>
      </c>
      <c r="C178" s="51" t="s">
        <v>1909</v>
      </c>
    </row>
    <row r="179" spans="1:3" x14ac:dyDescent="0.3">
      <c r="A179" s="55" t="s">
        <v>1288</v>
      </c>
      <c r="B179" s="51" t="s">
        <v>1910</v>
      </c>
      <c r="C179" s="51" t="s">
        <v>1911</v>
      </c>
    </row>
    <row r="180" spans="1:3" x14ac:dyDescent="0.3">
      <c r="A180" s="55" t="s">
        <v>826</v>
      </c>
      <c r="B180" s="51" t="s">
        <v>1912</v>
      </c>
      <c r="C180" s="51" t="s">
        <v>1913</v>
      </c>
    </row>
    <row r="181" spans="1:3" x14ac:dyDescent="0.3">
      <c r="A181" s="55" t="s">
        <v>1375</v>
      </c>
      <c r="B181" s="51" t="s">
        <v>1914</v>
      </c>
      <c r="C181" s="51" t="s">
        <v>1915</v>
      </c>
    </row>
    <row r="182" spans="1:3" x14ac:dyDescent="0.3">
      <c r="A182" s="55" t="s">
        <v>1301</v>
      </c>
      <c r="B182" s="51" t="s">
        <v>1916</v>
      </c>
      <c r="C182" s="51" t="s">
        <v>1917</v>
      </c>
    </row>
    <row r="183" spans="1:3" x14ac:dyDescent="0.3">
      <c r="A183" s="55" t="s">
        <v>842</v>
      </c>
      <c r="B183" s="51" t="s">
        <v>1918</v>
      </c>
      <c r="C183" s="51" t="s">
        <v>1919</v>
      </c>
    </row>
    <row r="184" spans="1:3" x14ac:dyDescent="0.3">
      <c r="A184" s="55" t="s">
        <v>841</v>
      </c>
      <c r="B184" s="51" t="s">
        <v>1920</v>
      </c>
      <c r="C184" s="51" t="s">
        <v>1921</v>
      </c>
    </row>
    <row r="185" spans="1:3" x14ac:dyDescent="0.3">
      <c r="A185" s="55" t="s">
        <v>1316</v>
      </c>
      <c r="B185" s="51" t="s">
        <v>1922</v>
      </c>
      <c r="C185" s="51" t="s">
        <v>1923</v>
      </c>
    </row>
    <row r="186" spans="1:3" x14ac:dyDescent="0.3">
      <c r="A186" s="55" t="s">
        <v>840</v>
      </c>
      <c r="B186" s="51" t="s">
        <v>1924</v>
      </c>
      <c r="C186" s="51" t="s">
        <v>1925</v>
      </c>
    </row>
    <row r="187" spans="1:3" x14ac:dyDescent="0.3">
      <c r="A187" s="55" t="s">
        <v>839</v>
      </c>
      <c r="B187" s="51" t="s">
        <v>1926</v>
      </c>
      <c r="C187" s="51" t="s">
        <v>1927</v>
      </c>
    </row>
    <row r="188" spans="1:3" x14ac:dyDescent="0.3">
      <c r="A188" s="55" t="s">
        <v>794</v>
      </c>
      <c r="B188" s="51" t="s">
        <v>1928</v>
      </c>
      <c r="C188" s="51" t="s">
        <v>1929</v>
      </c>
    </row>
    <row r="189" spans="1:3" x14ac:dyDescent="0.3">
      <c r="A189" s="55" t="s">
        <v>816</v>
      </c>
      <c r="B189" s="51" t="s">
        <v>1930</v>
      </c>
      <c r="C189" s="51" t="s">
        <v>1931</v>
      </c>
    </row>
    <row r="190" spans="1:3" x14ac:dyDescent="0.3">
      <c r="A190" s="55" t="s">
        <v>822</v>
      </c>
      <c r="B190" s="51" t="s">
        <v>1932</v>
      </c>
      <c r="C190" s="51" t="s">
        <v>1933</v>
      </c>
    </row>
    <row r="191" spans="1:3" x14ac:dyDescent="0.3">
      <c r="A191" s="55" t="s">
        <v>802</v>
      </c>
      <c r="B191" s="51" t="s">
        <v>1934</v>
      </c>
      <c r="C191" s="51" t="s">
        <v>1935</v>
      </c>
    </row>
    <row r="192" spans="1:3" x14ac:dyDescent="0.3">
      <c r="A192" s="55" t="s">
        <v>814</v>
      </c>
      <c r="B192" s="51" t="s">
        <v>1936</v>
      </c>
      <c r="C192" s="51" t="s">
        <v>1937</v>
      </c>
    </row>
    <row r="193" spans="1:3" x14ac:dyDescent="0.3">
      <c r="A193" s="55" t="s">
        <v>831</v>
      </c>
      <c r="B193" s="51" t="s">
        <v>1938</v>
      </c>
      <c r="C193" s="51" t="s">
        <v>1939</v>
      </c>
    </row>
    <row r="194" spans="1:3" x14ac:dyDescent="0.3">
      <c r="A194" s="55" t="s">
        <v>818</v>
      </c>
      <c r="B194" s="51" t="s">
        <v>1940</v>
      </c>
      <c r="C194" s="51" t="s">
        <v>1941</v>
      </c>
    </row>
    <row r="195" spans="1:3" x14ac:dyDescent="0.3">
      <c r="A195" s="55" t="s">
        <v>829</v>
      </c>
      <c r="B195" s="51" t="s">
        <v>1942</v>
      </c>
      <c r="C195" s="51" t="s">
        <v>1943</v>
      </c>
    </row>
    <row r="196" spans="1:3" x14ac:dyDescent="0.3">
      <c r="A196" s="55" t="s">
        <v>830</v>
      </c>
      <c r="B196" s="51" t="s">
        <v>1944</v>
      </c>
      <c r="C196" s="51" t="s">
        <v>1945</v>
      </c>
    </row>
    <row r="197" spans="1:3" x14ac:dyDescent="0.3">
      <c r="A197" s="55" t="s">
        <v>812</v>
      </c>
      <c r="B197" s="51" t="s">
        <v>1946</v>
      </c>
      <c r="C197" s="51" t="s">
        <v>1947</v>
      </c>
    </row>
    <row r="198" spans="1:3" x14ac:dyDescent="0.3">
      <c r="A198" s="55" t="s">
        <v>836</v>
      </c>
      <c r="B198" s="51" t="s">
        <v>1948</v>
      </c>
      <c r="C198" s="51" t="s">
        <v>1949</v>
      </c>
    </row>
    <row r="199" spans="1:3" x14ac:dyDescent="0.3">
      <c r="A199" s="55" t="s">
        <v>835</v>
      </c>
      <c r="B199" s="51" t="s">
        <v>1950</v>
      </c>
      <c r="C199" s="51" t="s">
        <v>1951</v>
      </c>
    </row>
    <row r="200" spans="1:3" x14ac:dyDescent="0.3">
      <c r="A200" s="55" t="s">
        <v>796</v>
      </c>
      <c r="B200" s="51" t="s">
        <v>1952</v>
      </c>
      <c r="C200" s="51" t="s">
        <v>1953</v>
      </c>
    </row>
    <row r="201" spans="1:3" x14ac:dyDescent="0.3">
      <c r="A201" s="55" t="s">
        <v>614</v>
      </c>
      <c r="B201" s="51" t="s">
        <v>1954</v>
      </c>
      <c r="C201" s="51" t="s">
        <v>1955</v>
      </c>
    </row>
    <row r="202" spans="1:3" x14ac:dyDescent="0.3">
      <c r="A202" s="55" t="s">
        <v>613</v>
      </c>
      <c r="B202" s="51" t="s">
        <v>1956</v>
      </c>
      <c r="C202" s="51" t="s">
        <v>1957</v>
      </c>
    </row>
    <row r="203" spans="1:3" x14ac:dyDescent="0.3">
      <c r="A203" s="55" t="s">
        <v>344</v>
      </c>
      <c r="B203" s="51" t="s">
        <v>1958</v>
      </c>
      <c r="C203" s="51" t="s">
        <v>1959</v>
      </c>
    </row>
    <row r="204" spans="1:3" x14ac:dyDescent="0.3">
      <c r="A204" s="55" t="s">
        <v>350</v>
      </c>
      <c r="B204" s="51" t="s">
        <v>1960</v>
      </c>
      <c r="C204" s="51" t="s">
        <v>1961</v>
      </c>
    </row>
    <row r="205" spans="1:3" x14ac:dyDescent="0.3">
      <c r="A205" s="55" t="s">
        <v>348</v>
      </c>
      <c r="B205" s="51" t="s">
        <v>1962</v>
      </c>
      <c r="C205" s="51" t="s">
        <v>1963</v>
      </c>
    </row>
    <row r="206" spans="1:3" x14ac:dyDescent="0.3">
      <c r="A206" s="55" t="s">
        <v>349</v>
      </c>
      <c r="B206" s="51" t="s">
        <v>1964</v>
      </c>
      <c r="C206" s="51" t="s">
        <v>1965</v>
      </c>
    </row>
    <row r="207" spans="1:3" x14ac:dyDescent="0.3">
      <c r="A207" s="55" t="s">
        <v>325</v>
      </c>
      <c r="B207" s="51" t="s">
        <v>1966</v>
      </c>
      <c r="C207" s="51" t="s">
        <v>1967</v>
      </c>
    </row>
    <row r="208" spans="1:3" x14ac:dyDescent="0.3">
      <c r="A208" s="55" t="s">
        <v>343</v>
      </c>
      <c r="B208" s="51" t="s">
        <v>1968</v>
      </c>
      <c r="C208" s="51" t="s">
        <v>1969</v>
      </c>
    </row>
    <row r="209" spans="1:3" x14ac:dyDescent="0.3">
      <c r="A209" s="55" t="s">
        <v>368</v>
      </c>
      <c r="B209" s="51" t="s">
        <v>1970</v>
      </c>
      <c r="C209" s="51" t="s">
        <v>1971</v>
      </c>
    </row>
    <row r="210" spans="1:3" x14ac:dyDescent="0.3">
      <c r="A210" s="55" t="s">
        <v>341</v>
      </c>
      <c r="B210" s="51" t="s">
        <v>1972</v>
      </c>
      <c r="C210" s="51" t="s">
        <v>1973</v>
      </c>
    </row>
    <row r="211" spans="1:3" x14ac:dyDescent="0.3">
      <c r="A211" s="55" t="s">
        <v>417</v>
      </c>
      <c r="B211" s="51" t="s">
        <v>1974</v>
      </c>
      <c r="C211" s="51" t="s">
        <v>1975</v>
      </c>
    </row>
    <row r="212" spans="1:3" x14ac:dyDescent="0.3">
      <c r="A212" s="55" t="s">
        <v>611</v>
      </c>
      <c r="B212" s="51" t="s">
        <v>1976</v>
      </c>
      <c r="C212" s="51" t="s">
        <v>1977</v>
      </c>
    </row>
    <row r="213" spans="1:3" x14ac:dyDescent="0.3">
      <c r="A213" s="55" t="s">
        <v>337</v>
      </c>
      <c r="B213" s="51" t="s">
        <v>1978</v>
      </c>
      <c r="C213" s="51" t="s">
        <v>1979</v>
      </c>
    </row>
    <row r="214" spans="1:3" x14ac:dyDescent="0.3">
      <c r="A214" s="55" t="s">
        <v>380</v>
      </c>
      <c r="B214" s="51" t="s">
        <v>1980</v>
      </c>
      <c r="C214" s="51" t="s">
        <v>1981</v>
      </c>
    </row>
    <row r="215" spans="1:3" x14ac:dyDescent="0.3">
      <c r="A215" s="55" t="s">
        <v>353</v>
      </c>
      <c r="B215" s="51" t="s">
        <v>1982</v>
      </c>
      <c r="C215" s="51" t="s">
        <v>1983</v>
      </c>
    </row>
    <row r="216" spans="1:3" x14ac:dyDescent="0.3">
      <c r="A216" s="55" t="s">
        <v>364</v>
      </c>
      <c r="B216" s="51" t="s">
        <v>1984</v>
      </c>
      <c r="C216" s="51" t="s">
        <v>1985</v>
      </c>
    </row>
    <row r="217" spans="1:3" x14ac:dyDescent="0.3">
      <c r="A217" s="55" t="s">
        <v>355</v>
      </c>
      <c r="B217" s="51" t="s">
        <v>1986</v>
      </c>
      <c r="C217" s="51" t="s">
        <v>1987</v>
      </c>
    </row>
    <row r="218" spans="1:3" x14ac:dyDescent="0.3">
      <c r="A218" s="55" t="s">
        <v>327</v>
      </c>
      <c r="B218" s="51" t="s">
        <v>1988</v>
      </c>
      <c r="C218" s="51" t="s">
        <v>1989</v>
      </c>
    </row>
    <row r="219" spans="1:3" x14ac:dyDescent="0.3">
      <c r="A219" s="55" t="s">
        <v>329</v>
      </c>
      <c r="B219" s="51" t="s">
        <v>1990</v>
      </c>
      <c r="C219" s="51" t="s">
        <v>1991</v>
      </c>
    </row>
    <row r="220" spans="1:3" x14ac:dyDescent="0.3">
      <c r="A220" s="55" t="s">
        <v>338</v>
      </c>
      <c r="B220" s="51" t="s">
        <v>1992</v>
      </c>
      <c r="C220" s="51" t="s">
        <v>1993</v>
      </c>
    </row>
    <row r="221" spans="1:3" x14ac:dyDescent="0.3">
      <c r="A221" s="55" t="s">
        <v>609</v>
      </c>
      <c r="B221" s="51" t="s">
        <v>1994</v>
      </c>
      <c r="C221" s="51" t="s">
        <v>1995</v>
      </c>
    </row>
    <row r="222" spans="1:3" x14ac:dyDescent="0.3">
      <c r="A222" s="55" t="s">
        <v>388</v>
      </c>
      <c r="B222" s="51" t="s">
        <v>1996</v>
      </c>
      <c r="C222" s="51" t="s">
        <v>1997</v>
      </c>
    </row>
    <row r="223" spans="1:3" x14ac:dyDescent="0.3">
      <c r="A223" s="55" t="s">
        <v>360</v>
      </c>
      <c r="B223" s="51" t="s">
        <v>1998</v>
      </c>
      <c r="C223" s="51" t="s">
        <v>1999</v>
      </c>
    </row>
    <row r="224" spans="1:3" x14ac:dyDescent="0.3">
      <c r="A224" s="55" t="s">
        <v>608</v>
      </c>
      <c r="B224" s="51" t="s">
        <v>2000</v>
      </c>
      <c r="C224" s="51" t="s">
        <v>2001</v>
      </c>
    </row>
    <row r="225" spans="1:3" x14ac:dyDescent="0.3">
      <c r="A225" s="55" t="s">
        <v>393</v>
      </c>
      <c r="B225" s="51" t="s">
        <v>2002</v>
      </c>
      <c r="C225" s="51" t="s">
        <v>2003</v>
      </c>
    </row>
    <row r="226" spans="1:3" x14ac:dyDescent="0.3">
      <c r="A226" s="55" t="s">
        <v>342</v>
      </c>
      <c r="B226" s="51" t="s">
        <v>2004</v>
      </c>
      <c r="C226" s="51" t="s">
        <v>2005</v>
      </c>
    </row>
    <row r="227" spans="1:3" x14ac:dyDescent="0.3">
      <c r="A227" s="55" t="s">
        <v>405</v>
      </c>
      <c r="B227" s="51" t="s">
        <v>2006</v>
      </c>
      <c r="C227" s="51" t="s">
        <v>2007</v>
      </c>
    </row>
    <row r="228" spans="1:3" x14ac:dyDescent="0.3">
      <c r="A228" s="55" t="s">
        <v>324</v>
      </c>
      <c r="B228" s="51" t="s">
        <v>2008</v>
      </c>
      <c r="C228" s="51" t="s">
        <v>2009</v>
      </c>
    </row>
    <row r="229" spans="1:3" x14ac:dyDescent="0.3">
      <c r="A229" s="55" t="s">
        <v>422</v>
      </c>
      <c r="B229" s="51" t="s">
        <v>2010</v>
      </c>
      <c r="C229" s="51" t="s">
        <v>2011</v>
      </c>
    </row>
    <row r="230" spans="1:3" x14ac:dyDescent="0.3">
      <c r="A230" s="55" t="s">
        <v>379</v>
      </c>
      <c r="B230" s="51" t="s">
        <v>2012</v>
      </c>
      <c r="C230" s="51" t="s">
        <v>2013</v>
      </c>
    </row>
    <row r="231" spans="1:3" x14ac:dyDescent="0.3">
      <c r="A231" s="55" t="s">
        <v>420</v>
      </c>
      <c r="B231" s="51" t="s">
        <v>2014</v>
      </c>
      <c r="C231" s="51" t="s">
        <v>2015</v>
      </c>
    </row>
    <row r="232" spans="1:3" x14ac:dyDescent="0.3">
      <c r="A232" s="55" t="s">
        <v>373</v>
      </c>
      <c r="B232" s="51" t="s">
        <v>2016</v>
      </c>
      <c r="C232" s="51" t="s">
        <v>2017</v>
      </c>
    </row>
    <row r="233" spans="1:3" x14ac:dyDescent="0.3">
      <c r="A233" s="55" t="s">
        <v>607</v>
      </c>
      <c r="B233" s="51" t="s">
        <v>2018</v>
      </c>
      <c r="C233" s="51" t="s">
        <v>2019</v>
      </c>
    </row>
    <row r="234" spans="1:3" x14ac:dyDescent="0.3">
      <c r="A234" s="55" t="s">
        <v>339</v>
      </c>
      <c r="B234" s="51" t="s">
        <v>2020</v>
      </c>
      <c r="C234" s="51" t="s">
        <v>2021</v>
      </c>
    </row>
    <row r="235" spans="1:3" x14ac:dyDescent="0.3">
      <c r="A235" s="55" t="s">
        <v>331</v>
      </c>
      <c r="B235" s="51" t="s">
        <v>2022</v>
      </c>
      <c r="C235" s="51" t="s">
        <v>2023</v>
      </c>
    </row>
    <row r="236" spans="1:3" x14ac:dyDescent="0.3">
      <c r="A236" s="55" t="s">
        <v>356</v>
      </c>
      <c r="B236" s="51" t="s">
        <v>2024</v>
      </c>
      <c r="C236" s="51" t="s">
        <v>2025</v>
      </c>
    </row>
    <row r="237" spans="1:3" x14ac:dyDescent="0.3">
      <c r="A237" s="55" t="s">
        <v>394</v>
      </c>
      <c r="B237" s="51" t="s">
        <v>2026</v>
      </c>
      <c r="C237" s="51" t="s">
        <v>2027</v>
      </c>
    </row>
    <row r="238" spans="1:3" x14ac:dyDescent="0.3">
      <c r="A238" s="55" t="s">
        <v>606</v>
      </c>
      <c r="B238" s="51" t="s">
        <v>2028</v>
      </c>
      <c r="C238" s="51" t="s">
        <v>2029</v>
      </c>
    </row>
    <row r="239" spans="1:3" x14ac:dyDescent="0.3">
      <c r="A239" s="55" t="s">
        <v>359</v>
      </c>
      <c r="B239" s="51" t="s">
        <v>2030</v>
      </c>
      <c r="C239" s="51" t="s">
        <v>2031</v>
      </c>
    </row>
    <row r="240" spans="1:3" x14ac:dyDescent="0.3">
      <c r="A240" s="55" t="s">
        <v>357</v>
      </c>
      <c r="B240" s="51" t="s">
        <v>2032</v>
      </c>
      <c r="C240" s="51" t="s">
        <v>2033</v>
      </c>
    </row>
    <row r="241" spans="1:3" x14ac:dyDescent="0.3">
      <c r="A241" s="55" t="s">
        <v>386</v>
      </c>
      <c r="B241" s="51" t="s">
        <v>2034</v>
      </c>
      <c r="C241" s="51" t="s">
        <v>2035</v>
      </c>
    </row>
    <row r="242" spans="1:3" x14ac:dyDescent="0.3">
      <c r="A242" s="55" t="s">
        <v>387</v>
      </c>
      <c r="B242" s="51" t="s">
        <v>2036</v>
      </c>
      <c r="C242" s="51" t="s">
        <v>2037</v>
      </c>
    </row>
    <row r="243" spans="1:3" x14ac:dyDescent="0.3">
      <c r="A243" s="55" t="s">
        <v>605</v>
      </c>
      <c r="B243" s="51" t="s">
        <v>2038</v>
      </c>
      <c r="C243" s="51" t="s">
        <v>2039</v>
      </c>
    </row>
    <row r="244" spans="1:3" x14ac:dyDescent="0.3">
      <c r="A244" s="55" t="s">
        <v>425</v>
      </c>
      <c r="B244" s="51" t="s">
        <v>2040</v>
      </c>
      <c r="C244" s="51" t="s">
        <v>2041</v>
      </c>
    </row>
    <row r="245" spans="1:3" x14ac:dyDescent="0.3">
      <c r="A245" s="55" t="s">
        <v>604</v>
      </c>
      <c r="B245" s="51" t="s">
        <v>2042</v>
      </c>
      <c r="C245" s="51" t="s">
        <v>2043</v>
      </c>
    </row>
    <row r="246" spans="1:3" x14ac:dyDescent="0.3">
      <c r="A246" s="55" t="s">
        <v>333</v>
      </c>
      <c r="B246" s="51" t="s">
        <v>2044</v>
      </c>
      <c r="C246" s="51" t="s">
        <v>2045</v>
      </c>
    </row>
    <row r="247" spans="1:3" x14ac:dyDescent="0.3">
      <c r="A247" s="55" t="s">
        <v>335</v>
      </c>
      <c r="B247" s="51" t="s">
        <v>2046</v>
      </c>
      <c r="C247" s="51" t="s">
        <v>2047</v>
      </c>
    </row>
    <row r="248" spans="1:3" x14ac:dyDescent="0.3">
      <c r="A248" s="55" t="s">
        <v>413</v>
      </c>
      <c r="B248" s="51" t="s">
        <v>2048</v>
      </c>
      <c r="C248" s="51" t="s">
        <v>2049</v>
      </c>
    </row>
    <row r="249" spans="1:3" x14ac:dyDescent="0.3">
      <c r="A249" s="55" t="s">
        <v>346</v>
      </c>
      <c r="B249" s="51" t="s">
        <v>2050</v>
      </c>
      <c r="C249" s="51" t="s">
        <v>2051</v>
      </c>
    </row>
    <row r="250" spans="1:3" x14ac:dyDescent="0.3">
      <c r="A250" s="55" t="s">
        <v>351</v>
      </c>
      <c r="B250" s="51" t="s">
        <v>2052</v>
      </c>
      <c r="C250" s="51" t="s">
        <v>2053</v>
      </c>
    </row>
    <row r="251" spans="1:3" x14ac:dyDescent="0.3">
      <c r="A251" s="55" t="s">
        <v>275</v>
      </c>
      <c r="B251" s="51" t="s">
        <v>2054</v>
      </c>
      <c r="C251" s="51" t="s">
        <v>2055</v>
      </c>
    </row>
    <row r="252" spans="1:3" x14ac:dyDescent="0.3">
      <c r="A252" s="55" t="s">
        <v>599</v>
      </c>
      <c r="B252" s="51" t="s">
        <v>2056</v>
      </c>
      <c r="C252" s="51" t="s">
        <v>2057</v>
      </c>
    </row>
    <row r="253" spans="1:3" x14ac:dyDescent="0.3">
      <c r="A253" s="55" t="s">
        <v>300</v>
      </c>
      <c r="B253" s="51" t="s">
        <v>2058</v>
      </c>
      <c r="C253" s="51" t="s">
        <v>2059</v>
      </c>
    </row>
    <row r="254" spans="1:3" x14ac:dyDescent="0.3">
      <c r="A254" s="55" t="s">
        <v>288</v>
      </c>
      <c r="B254" s="51" t="s">
        <v>2060</v>
      </c>
      <c r="C254" s="51" t="s">
        <v>2061</v>
      </c>
    </row>
    <row r="255" spans="1:3" x14ac:dyDescent="0.3">
      <c r="A255" s="55" t="s">
        <v>274</v>
      </c>
      <c r="B255" s="51" t="s">
        <v>2062</v>
      </c>
      <c r="C255" s="51" t="s">
        <v>2063</v>
      </c>
    </row>
    <row r="256" spans="1:3" x14ac:dyDescent="0.3">
      <c r="A256" s="55" t="s">
        <v>313</v>
      </c>
      <c r="B256" s="51" t="s">
        <v>2064</v>
      </c>
      <c r="C256" s="51" t="s">
        <v>2065</v>
      </c>
    </row>
    <row r="257" spans="1:3" x14ac:dyDescent="0.3">
      <c r="A257" s="55" t="s">
        <v>391</v>
      </c>
      <c r="B257" s="51" t="s">
        <v>2066</v>
      </c>
      <c r="C257" s="51" t="s">
        <v>2067</v>
      </c>
    </row>
    <row r="258" spans="1:3" x14ac:dyDescent="0.3">
      <c r="A258" s="55" t="s">
        <v>311</v>
      </c>
      <c r="B258" s="51" t="s">
        <v>2068</v>
      </c>
      <c r="C258" s="51" t="s">
        <v>2069</v>
      </c>
    </row>
    <row r="259" spans="1:3" x14ac:dyDescent="0.3">
      <c r="A259" s="55" t="s">
        <v>597</v>
      </c>
      <c r="B259" s="51" t="s">
        <v>2070</v>
      </c>
      <c r="C259" s="51" t="s">
        <v>2071</v>
      </c>
    </row>
    <row r="260" spans="1:3" x14ac:dyDescent="0.3">
      <c r="A260" s="55" t="s">
        <v>291</v>
      </c>
      <c r="B260" s="51" t="s">
        <v>2072</v>
      </c>
      <c r="C260" s="51" t="s">
        <v>2073</v>
      </c>
    </row>
    <row r="261" spans="1:3" x14ac:dyDescent="0.3">
      <c r="A261" s="55" t="s">
        <v>596</v>
      </c>
      <c r="B261" s="51" t="s">
        <v>2074</v>
      </c>
      <c r="C261" s="51" t="s">
        <v>2075</v>
      </c>
    </row>
    <row r="262" spans="1:3" x14ac:dyDescent="0.3">
      <c r="A262" s="55" t="s">
        <v>375</v>
      </c>
      <c r="B262" s="51" t="s">
        <v>2076</v>
      </c>
      <c r="C262" s="51" t="s">
        <v>2077</v>
      </c>
    </row>
    <row r="263" spans="1:3" x14ac:dyDescent="0.3">
      <c r="A263" s="55" t="s">
        <v>279</v>
      </c>
      <c r="B263" s="51" t="s">
        <v>2078</v>
      </c>
      <c r="C263" s="51" t="s">
        <v>2079</v>
      </c>
    </row>
    <row r="264" spans="1:3" x14ac:dyDescent="0.3">
      <c r="A264" s="55" t="s">
        <v>297</v>
      </c>
      <c r="B264" s="51" t="s">
        <v>2080</v>
      </c>
      <c r="C264" s="51" t="s">
        <v>2081</v>
      </c>
    </row>
    <row r="265" spans="1:3" x14ac:dyDescent="0.3">
      <c r="A265" s="55" t="s">
        <v>281</v>
      </c>
      <c r="B265" s="51" t="s">
        <v>2082</v>
      </c>
      <c r="C265" s="51" t="s">
        <v>2083</v>
      </c>
    </row>
    <row r="266" spans="1:3" x14ac:dyDescent="0.3">
      <c r="A266" s="55" t="s">
        <v>595</v>
      </c>
      <c r="B266" s="51" t="s">
        <v>2084</v>
      </c>
      <c r="C266" s="51" t="s">
        <v>2085</v>
      </c>
    </row>
    <row r="267" spans="1:3" x14ac:dyDescent="0.3">
      <c r="A267" s="55" t="s">
        <v>286</v>
      </c>
      <c r="B267" s="51" t="s">
        <v>2086</v>
      </c>
      <c r="C267" s="51" t="s">
        <v>2087</v>
      </c>
    </row>
    <row r="268" spans="1:3" x14ac:dyDescent="0.3">
      <c r="A268" s="55" t="s">
        <v>594</v>
      </c>
      <c r="B268" s="51" t="s">
        <v>2088</v>
      </c>
      <c r="C268" s="51" t="s">
        <v>2089</v>
      </c>
    </row>
    <row r="269" spans="1:3" x14ac:dyDescent="0.3">
      <c r="A269" s="55" t="s">
        <v>176</v>
      </c>
      <c r="B269" s="51" t="s">
        <v>2090</v>
      </c>
      <c r="C269" s="51" t="s">
        <v>2091</v>
      </c>
    </row>
    <row r="270" spans="1:3" x14ac:dyDescent="0.3">
      <c r="A270" s="55" t="s">
        <v>366</v>
      </c>
      <c r="B270" s="51" t="s">
        <v>2092</v>
      </c>
      <c r="C270" s="51" t="s">
        <v>2093</v>
      </c>
    </row>
    <row r="271" spans="1:3" x14ac:dyDescent="0.3">
      <c r="A271" s="55" t="s">
        <v>396</v>
      </c>
      <c r="B271" s="51" t="s">
        <v>2094</v>
      </c>
      <c r="C271" s="51" t="s">
        <v>2095</v>
      </c>
    </row>
    <row r="272" spans="1:3" x14ac:dyDescent="0.3">
      <c r="A272" s="55" t="s">
        <v>588</v>
      </c>
      <c r="B272" s="51" t="s">
        <v>2096</v>
      </c>
      <c r="C272" s="51" t="s">
        <v>2097</v>
      </c>
    </row>
    <row r="273" spans="1:3" x14ac:dyDescent="0.3">
      <c r="A273" s="55" t="s">
        <v>587</v>
      </c>
      <c r="B273" s="51" t="s">
        <v>2098</v>
      </c>
      <c r="C273" s="51" t="s">
        <v>2099</v>
      </c>
    </row>
    <row r="274" spans="1:3" x14ac:dyDescent="0.3">
      <c r="A274" s="55" t="s">
        <v>585</v>
      </c>
      <c r="B274" s="51" t="s">
        <v>2100</v>
      </c>
      <c r="C274" s="51" t="s">
        <v>2101</v>
      </c>
    </row>
    <row r="275" spans="1:3" x14ac:dyDescent="0.3">
      <c r="A275" s="55" t="s">
        <v>584</v>
      </c>
      <c r="B275" s="51" t="s">
        <v>2102</v>
      </c>
      <c r="C275" s="51" t="s">
        <v>2103</v>
      </c>
    </row>
    <row r="276" spans="1:3" x14ac:dyDescent="0.3">
      <c r="A276" s="55" t="s">
        <v>581</v>
      </c>
      <c r="B276" s="51" t="s">
        <v>2104</v>
      </c>
      <c r="C276" s="51" t="s">
        <v>2105</v>
      </c>
    </row>
    <row r="277" spans="1:3" x14ac:dyDescent="0.3">
      <c r="A277" s="55" t="s">
        <v>142</v>
      </c>
      <c r="B277" s="51" t="s">
        <v>2106</v>
      </c>
      <c r="C277" s="51" t="s">
        <v>2107</v>
      </c>
    </row>
    <row r="278" spans="1:3" x14ac:dyDescent="0.3">
      <c r="A278" s="55" t="s">
        <v>146</v>
      </c>
      <c r="B278" s="51" t="s">
        <v>2108</v>
      </c>
      <c r="C278" s="51" t="s">
        <v>2109</v>
      </c>
    </row>
    <row r="279" spans="1:3" x14ac:dyDescent="0.3">
      <c r="A279" s="55" t="s">
        <v>278</v>
      </c>
      <c r="B279" s="51" t="s">
        <v>2110</v>
      </c>
      <c r="C279" s="51" t="s">
        <v>2111</v>
      </c>
    </row>
    <row r="280" spans="1:3" x14ac:dyDescent="0.3">
      <c r="A280" s="55" t="s">
        <v>154</v>
      </c>
      <c r="B280" s="51" t="s">
        <v>2112</v>
      </c>
      <c r="C280" s="51" t="s">
        <v>2113</v>
      </c>
    </row>
    <row r="281" spans="1:3" x14ac:dyDescent="0.3">
      <c r="A281" s="55" t="s">
        <v>591</v>
      </c>
      <c r="B281" s="51" t="s">
        <v>2114</v>
      </c>
      <c r="C281" s="51" t="s">
        <v>2115</v>
      </c>
    </row>
    <row r="282" spans="1:3" x14ac:dyDescent="0.3">
      <c r="A282" s="55" t="s">
        <v>152</v>
      </c>
      <c r="B282" s="51" t="s">
        <v>2116</v>
      </c>
      <c r="C282" s="51" t="s">
        <v>2117</v>
      </c>
    </row>
    <row r="283" spans="1:3" x14ac:dyDescent="0.3">
      <c r="A283" s="55" t="s">
        <v>140</v>
      </c>
      <c r="B283" s="51" t="s">
        <v>2118</v>
      </c>
      <c r="C283" s="51" t="s">
        <v>2119</v>
      </c>
    </row>
    <row r="284" spans="1:3" x14ac:dyDescent="0.3">
      <c r="A284" s="55" t="s">
        <v>175</v>
      </c>
      <c r="B284" s="51" t="s">
        <v>2120</v>
      </c>
      <c r="C284" s="51" t="s">
        <v>2121</v>
      </c>
    </row>
    <row r="285" spans="1:3" x14ac:dyDescent="0.3">
      <c r="A285" s="55" t="s">
        <v>138</v>
      </c>
      <c r="B285" s="51" t="s">
        <v>2122</v>
      </c>
      <c r="C285" s="51" t="s">
        <v>2123</v>
      </c>
    </row>
    <row r="286" spans="1:3" x14ac:dyDescent="0.3">
      <c r="A286" s="55" t="s">
        <v>382</v>
      </c>
      <c r="B286" s="51" t="s">
        <v>2124</v>
      </c>
      <c r="C286" s="51" t="s">
        <v>2125</v>
      </c>
    </row>
    <row r="287" spans="1:3" x14ac:dyDescent="0.3">
      <c r="A287" s="55" t="s">
        <v>578</v>
      </c>
      <c r="B287" s="51" t="s">
        <v>2126</v>
      </c>
      <c r="C287" s="51" t="s">
        <v>2127</v>
      </c>
    </row>
    <row r="288" spans="1:3" x14ac:dyDescent="0.3">
      <c r="A288" s="55" t="s">
        <v>144</v>
      </c>
      <c r="B288" s="51" t="s">
        <v>2128</v>
      </c>
      <c r="C288" s="51" t="s">
        <v>2129</v>
      </c>
    </row>
    <row r="289" spans="1:3" x14ac:dyDescent="0.3">
      <c r="A289" s="55" t="s">
        <v>294</v>
      </c>
      <c r="B289" s="51" t="s">
        <v>2130</v>
      </c>
      <c r="C289" s="51" t="s">
        <v>2131</v>
      </c>
    </row>
    <row r="290" spans="1:3" x14ac:dyDescent="0.3">
      <c r="A290" s="55" t="s">
        <v>145</v>
      </c>
      <c r="B290" s="51" t="s">
        <v>2132</v>
      </c>
      <c r="C290" s="51" t="s">
        <v>2133</v>
      </c>
    </row>
    <row r="291" spans="1:3" x14ac:dyDescent="0.3">
      <c r="A291" s="55" t="s">
        <v>173</v>
      </c>
      <c r="B291" s="51" t="s">
        <v>2134</v>
      </c>
      <c r="C291" s="51" t="s">
        <v>2135</v>
      </c>
    </row>
    <row r="292" spans="1:3" x14ac:dyDescent="0.3">
      <c r="A292" s="55" t="s">
        <v>293</v>
      </c>
      <c r="B292" s="51" t="s">
        <v>2136</v>
      </c>
      <c r="C292" s="51" t="s">
        <v>2137</v>
      </c>
    </row>
    <row r="293" spans="1:3" x14ac:dyDescent="0.3">
      <c r="A293" s="55" t="s">
        <v>141</v>
      </c>
      <c r="B293" s="51" t="s">
        <v>2138</v>
      </c>
      <c r="C293" s="51" t="s">
        <v>2139</v>
      </c>
    </row>
    <row r="294" spans="1:3" x14ac:dyDescent="0.3">
      <c r="A294" s="55" t="s">
        <v>172</v>
      </c>
      <c r="B294" s="51" t="s">
        <v>2140</v>
      </c>
      <c r="C294" s="51" t="s">
        <v>2141</v>
      </c>
    </row>
    <row r="295" spans="1:3" x14ac:dyDescent="0.3">
      <c r="A295" s="55" t="s">
        <v>403</v>
      </c>
      <c r="B295" s="51" t="s">
        <v>2142</v>
      </c>
      <c r="C295" s="51" t="s">
        <v>2143</v>
      </c>
    </row>
    <row r="296" spans="1:3" x14ac:dyDescent="0.3">
      <c r="A296" s="55" t="s">
        <v>148</v>
      </c>
      <c r="B296" s="51" t="s">
        <v>2144</v>
      </c>
      <c r="C296" s="51" t="s">
        <v>2145</v>
      </c>
    </row>
    <row r="297" spans="1:3" x14ac:dyDescent="0.3">
      <c r="A297" s="55" t="s">
        <v>171</v>
      </c>
      <c r="B297" s="51" t="s">
        <v>2146</v>
      </c>
      <c r="C297" s="51" t="s">
        <v>2147</v>
      </c>
    </row>
    <row r="298" spans="1:3" x14ac:dyDescent="0.3">
      <c r="A298" s="55" t="s">
        <v>170</v>
      </c>
      <c r="B298" s="51" t="s">
        <v>2148</v>
      </c>
      <c r="C298" s="51" t="s">
        <v>2149</v>
      </c>
    </row>
    <row r="299" spans="1:3" x14ac:dyDescent="0.3">
      <c r="A299" s="55" t="s">
        <v>577</v>
      </c>
      <c r="B299" s="51" t="s">
        <v>2150</v>
      </c>
      <c r="C299" s="51" t="s">
        <v>2151</v>
      </c>
    </row>
    <row r="300" spans="1:3" x14ac:dyDescent="0.3">
      <c r="A300" s="55" t="s">
        <v>575</v>
      </c>
      <c r="B300" s="51" t="s">
        <v>2152</v>
      </c>
      <c r="C300" s="51" t="s">
        <v>2153</v>
      </c>
    </row>
    <row r="301" spans="1:3" x14ac:dyDescent="0.3">
      <c r="A301" s="55" t="s">
        <v>574</v>
      </c>
      <c r="B301" s="51" t="s">
        <v>2154</v>
      </c>
      <c r="C301" s="51" t="s">
        <v>2155</v>
      </c>
    </row>
    <row r="302" spans="1:3" x14ac:dyDescent="0.3">
      <c r="A302" s="55" t="s">
        <v>169</v>
      </c>
      <c r="B302" s="51" t="s">
        <v>2156</v>
      </c>
      <c r="C302" s="51" t="s">
        <v>2157</v>
      </c>
    </row>
    <row r="303" spans="1:3" x14ac:dyDescent="0.3">
      <c r="A303" s="55" t="s">
        <v>168</v>
      </c>
      <c r="B303" s="51" t="s">
        <v>2158</v>
      </c>
      <c r="C303" s="51" t="s">
        <v>2159</v>
      </c>
    </row>
    <row r="304" spans="1:3" x14ac:dyDescent="0.3">
      <c r="A304" s="55" t="s">
        <v>362</v>
      </c>
      <c r="B304" s="51" t="s">
        <v>2160</v>
      </c>
      <c r="C304" s="51" t="s">
        <v>2161</v>
      </c>
    </row>
    <row r="305" spans="1:3" x14ac:dyDescent="0.3">
      <c r="A305" s="55" t="s">
        <v>569</v>
      </c>
      <c r="B305" s="51" t="s">
        <v>2162</v>
      </c>
      <c r="C305" s="51" t="s">
        <v>2163</v>
      </c>
    </row>
    <row r="306" spans="1:3" x14ac:dyDescent="0.3">
      <c r="A306" s="55" t="s">
        <v>384</v>
      </c>
      <c r="B306" s="51" t="s">
        <v>2164</v>
      </c>
      <c r="C306" s="51" t="s">
        <v>2165</v>
      </c>
    </row>
    <row r="307" spans="1:3" x14ac:dyDescent="0.3">
      <c r="A307" s="55" t="s">
        <v>567</v>
      </c>
      <c r="B307" s="51" t="s">
        <v>2166</v>
      </c>
      <c r="C307" s="51" t="s">
        <v>2167</v>
      </c>
    </row>
    <row r="308" spans="1:3" x14ac:dyDescent="0.3">
      <c r="A308" s="55" t="s">
        <v>566</v>
      </c>
      <c r="B308" s="51" t="s">
        <v>2168</v>
      </c>
      <c r="C308" s="51" t="s">
        <v>2169</v>
      </c>
    </row>
    <row r="309" spans="1:3" x14ac:dyDescent="0.3">
      <c r="A309" s="55" t="s">
        <v>322</v>
      </c>
      <c r="B309" s="51" t="s">
        <v>2170</v>
      </c>
      <c r="C309" s="51" t="s">
        <v>2171</v>
      </c>
    </row>
    <row r="310" spans="1:3" x14ac:dyDescent="0.3">
      <c r="A310" s="55" t="s">
        <v>167</v>
      </c>
      <c r="B310" s="51" t="s">
        <v>2172</v>
      </c>
      <c r="C310" s="51" t="s">
        <v>2173</v>
      </c>
    </row>
    <row r="311" spans="1:3" x14ac:dyDescent="0.3">
      <c r="A311" s="55" t="s">
        <v>409</v>
      </c>
      <c r="B311" s="51" t="s">
        <v>2174</v>
      </c>
      <c r="C311" s="51" t="s">
        <v>2175</v>
      </c>
    </row>
    <row r="312" spans="1:3" x14ac:dyDescent="0.3">
      <c r="A312" s="55" t="s">
        <v>309</v>
      </c>
      <c r="B312" s="51" t="s">
        <v>2176</v>
      </c>
      <c r="C312" s="51" t="s">
        <v>2177</v>
      </c>
    </row>
    <row r="313" spans="1:3" x14ac:dyDescent="0.3">
      <c r="A313" s="55" t="s">
        <v>559</v>
      </c>
      <c r="B313" s="51" t="s">
        <v>2178</v>
      </c>
      <c r="C313" s="51" t="s">
        <v>2179</v>
      </c>
    </row>
    <row r="314" spans="1:3" x14ac:dyDescent="0.3">
      <c r="A314" s="55" t="s">
        <v>411</v>
      </c>
      <c r="B314" s="51" t="s">
        <v>2180</v>
      </c>
      <c r="C314" s="51" t="s">
        <v>2181</v>
      </c>
    </row>
    <row r="315" spans="1:3" x14ac:dyDescent="0.3">
      <c r="A315" s="55" t="s">
        <v>126</v>
      </c>
      <c r="B315" s="51" t="s">
        <v>2182</v>
      </c>
      <c r="C315" s="51" t="s">
        <v>2183</v>
      </c>
    </row>
    <row r="316" spans="1:3" x14ac:dyDescent="0.3">
      <c r="A316" s="55" t="s">
        <v>290</v>
      </c>
      <c r="B316" s="51" t="s">
        <v>2184</v>
      </c>
      <c r="C316" s="51" t="s">
        <v>2185</v>
      </c>
    </row>
    <row r="317" spans="1:3" x14ac:dyDescent="0.3">
      <c r="A317" s="55" t="s">
        <v>308</v>
      </c>
      <c r="B317" s="51" t="s">
        <v>2186</v>
      </c>
      <c r="C317" s="51" t="s">
        <v>2187</v>
      </c>
    </row>
    <row r="318" spans="1:3" x14ac:dyDescent="0.3">
      <c r="A318" s="55" t="s">
        <v>557</v>
      </c>
      <c r="B318" s="51" t="s">
        <v>2188</v>
      </c>
      <c r="C318" s="51" t="s">
        <v>2189</v>
      </c>
    </row>
    <row r="319" spans="1:3" x14ac:dyDescent="0.3">
      <c r="A319" s="55" t="s">
        <v>139</v>
      </c>
      <c r="B319" s="51" t="s">
        <v>2190</v>
      </c>
      <c r="C319" s="51" t="s">
        <v>2191</v>
      </c>
    </row>
    <row r="320" spans="1:3" x14ac:dyDescent="0.3">
      <c r="A320" s="55" t="s">
        <v>111</v>
      </c>
      <c r="B320" s="51" t="s">
        <v>2192</v>
      </c>
      <c r="C320" s="51" t="s">
        <v>2193</v>
      </c>
    </row>
    <row r="321" spans="1:3" x14ac:dyDescent="0.3">
      <c r="A321" s="55" t="s">
        <v>112</v>
      </c>
      <c r="B321" s="51" t="s">
        <v>2194</v>
      </c>
      <c r="C321" s="51" t="s">
        <v>2195</v>
      </c>
    </row>
    <row r="322" spans="1:3" x14ac:dyDescent="0.3">
      <c r="A322" s="55" t="s">
        <v>418</v>
      </c>
      <c r="B322" s="51" t="s">
        <v>2196</v>
      </c>
      <c r="C322" s="51" t="s">
        <v>2197</v>
      </c>
    </row>
    <row r="323" spans="1:3" x14ac:dyDescent="0.3">
      <c r="A323" s="55" t="s">
        <v>122</v>
      </c>
      <c r="B323" s="51" t="s">
        <v>2198</v>
      </c>
      <c r="C323" s="51" t="s">
        <v>2199</v>
      </c>
    </row>
    <row r="324" spans="1:3" x14ac:dyDescent="0.3">
      <c r="A324" s="55" t="s">
        <v>299</v>
      </c>
      <c r="B324" s="51" t="s">
        <v>2200</v>
      </c>
      <c r="C324" s="51" t="s">
        <v>2201</v>
      </c>
    </row>
    <row r="325" spans="1:3" x14ac:dyDescent="0.3">
      <c r="A325" s="55" t="s">
        <v>153</v>
      </c>
      <c r="B325" s="51" t="s">
        <v>2202</v>
      </c>
      <c r="C325" s="51" t="s">
        <v>2203</v>
      </c>
    </row>
    <row r="326" spans="1:3" x14ac:dyDescent="0.3">
      <c r="A326" s="55" t="s">
        <v>554</v>
      </c>
      <c r="B326" s="51" t="s">
        <v>2204</v>
      </c>
      <c r="C326" s="51" t="s">
        <v>2205</v>
      </c>
    </row>
    <row r="327" spans="1:3" x14ac:dyDescent="0.3">
      <c r="A327" s="55" t="s">
        <v>307</v>
      </c>
      <c r="B327" s="51" t="s">
        <v>2206</v>
      </c>
      <c r="C327" s="51" t="s">
        <v>2207</v>
      </c>
    </row>
    <row r="328" spans="1:3" x14ac:dyDescent="0.3">
      <c r="A328" s="55" t="s">
        <v>427</v>
      </c>
      <c r="B328" s="51" t="s">
        <v>2208</v>
      </c>
      <c r="C328" s="51" t="s">
        <v>2209</v>
      </c>
    </row>
    <row r="329" spans="1:3" x14ac:dyDescent="0.3">
      <c r="A329" s="55" t="s">
        <v>315</v>
      </c>
      <c r="B329" s="51" t="s">
        <v>2210</v>
      </c>
      <c r="C329" s="51" t="s">
        <v>2211</v>
      </c>
    </row>
    <row r="330" spans="1:3" x14ac:dyDescent="0.3">
      <c r="A330" s="55" t="s">
        <v>125</v>
      </c>
      <c r="B330" s="51" t="s">
        <v>2212</v>
      </c>
      <c r="C330" s="51" t="s">
        <v>2213</v>
      </c>
    </row>
    <row r="331" spans="1:3" x14ac:dyDescent="0.3">
      <c r="A331" s="55" t="s">
        <v>306</v>
      </c>
      <c r="B331" s="51" t="s">
        <v>2214</v>
      </c>
      <c r="C331" s="51" t="s">
        <v>2215</v>
      </c>
    </row>
    <row r="332" spans="1:3" x14ac:dyDescent="0.3">
      <c r="A332" s="55" t="s">
        <v>100</v>
      </c>
      <c r="B332" s="51" t="s">
        <v>2216</v>
      </c>
      <c r="C332" s="51" t="s">
        <v>2217</v>
      </c>
    </row>
    <row r="333" spans="1:3" x14ac:dyDescent="0.3">
      <c r="A333" s="55" t="s">
        <v>96</v>
      </c>
      <c r="B333" s="51" t="s">
        <v>2218</v>
      </c>
      <c r="C333" s="51" t="s">
        <v>2219</v>
      </c>
    </row>
    <row r="334" spans="1:3" x14ac:dyDescent="0.3">
      <c r="A334" s="55" t="s">
        <v>26</v>
      </c>
      <c r="B334" s="51" t="s">
        <v>2220</v>
      </c>
      <c r="C334" s="51" t="s">
        <v>2221</v>
      </c>
    </row>
    <row r="335" spans="1:3" x14ac:dyDescent="0.3">
      <c r="A335" s="55" t="s">
        <v>440</v>
      </c>
      <c r="B335" s="51" t="s">
        <v>2222</v>
      </c>
      <c r="C335" s="51" t="s">
        <v>2223</v>
      </c>
    </row>
    <row r="336" spans="1:3" x14ac:dyDescent="0.3">
      <c r="A336" s="55" t="s">
        <v>457</v>
      </c>
      <c r="B336" s="51" t="s">
        <v>2224</v>
      </c>
      <c r="C336" s="51" t="s">
        <v>2225</v>
      </c>
    </row>
    <row r="337" spans="1:3" x14ac:dyDescent="0.3">
      <c r="A337" s="55" t="s">
        <v>166</v>
      </c>
      <c r="B337" s="51" t="s">
        <v>2226</v>
      </c>
      <c r="C337" s="51" t="s">
        <v>2227</v>
      </c>
    </row>
    <row r="338" spans="1:3" x14ac:dyDescent="0.3">
      <c r="A338" s="55" t="s">
        <v>7</v>
      </c>
      <c r="B338" s="51" t="s">
        <v>2228</v>
      </c>
      <c r="C338" s="51" t="s">
        <v>2229</v>
      </c>
    </row>
    <row r="339" spans="1:3" x14ac:dyDescent="0.3">
      <c r="A339" s="55" t="s">
        <v>93</v>
      </c>
      <c r="B339" s="51" t="s">
        <v>2230</v>
      </c>
      <c r="C339" s="51" t="s">
        <v>2231</v>
      </c>
    </row>
    <row r="340" spans="1:3" x14ac:dyDescent="0.3">
      <c r="A340" s="55" t="s">
        <v>21</v>
      </c>
      <c r="B340" s="51" t="s">
        <v>2232</v>
      </c>
      <c r="C340" s="51" t="s">
        <v>2233</v>
      </c>
    </row>
    <row r="341" spans="1:3" x14ac:dyDescent="0.3">
      <c r="A341" s="55" t="s">
        <v>135</v>
      </c>
      <c r="B341" s="51" t="s">
        <v>2234</v>
      </c>
      <c r="C341" s="51" t="s">
        <v>2235</v>
      </c>
    </row>
    <row r="342" spans="1:3" x14ac:dyDescent="0.3">
      <c r="A342" s="55" t="s">
        <v>97</v>
      </c>
      <c r="B342" s="51" t="s">
        <v>2236</v>
      </c>
      <c r="C342" s="51" t="s">
        <v>2237</v>
      </c>
    </row>
    <row r="343" spans="1:3" x14ac:dyDescent="0.3">
      <c r="A343" s="55" t="s">
        <v>129</v>
      </c>
      <c r="B343" s="51" t="s">
        <v>2238</v>
      </c>
      <c r="C343" s="51" t="s">
        <v>2239</v>
      </c>
    </row>
    <row r="344" spans="1:3" x14ac:dyDescent="0.3">
      <c r="A344" s="55" t="s">
        <v>550</v>
      </c>
      <c r="B344" s="51" t="s">
        <v>2240</v>
      </c>
      <c r="C344" s="51" t="s">
        <v>2241</v>
      </c>
    </row>
    <row r="345" spans="1:3" x14ac:dyDescent="0.3">
      <c r="A345" s="55" t="s">
        <v>134</v>
      </c>
      <c r="B345" s="51" t="s">
        <v>2242</v>
      </c>
      <c r="C345" s="51" t="s">
        <v>2243</v>
      </c>
    </row>
    <row r="346" spans="1:3" x14ac:dyDescent="0.3">
      <c r="A346" s="55" t="s">
        <v>118</v>
      </c>
      <c r="B346" s="51" t="s">
        <v>2244</v>
      </c>
      <c r="C346" s="51" t="s">
        <v>2245</v>
      </c>
    </row>
    <row r="347" spans="1:3" x14ac:dyDescent="0.3">
      <c r="A347" s="55" t="s">
        <v>150</v>
      </c>
      <c r="B347" s="51" t="s">
        <v>2246</v>
      </c>
      <c r="C347" s="51" t="s">
        <v>2247</v>
      </c>
    </row>
    <row r="348" spans="1:3" x14ac:dyDescent="0.3">
      <c r="A348" s="55" t="s">
        <v>370</v>
      </c>
      <c r="B348" s="51" t="s">
        <v>2248</v>
      </c>
      <c r="C348" s="51" t="s">
        <v>2249</v>
      </c>
    </row>
    <row r="349" spans="1:3" x14ac:dyDescent="0.3">
      <c r="A349" s="55" t="s">
        <v>461</v>
      </c>
      <c r="B349" s="51" t="s">
        <v>2250</v>
      </c>
      <c r="C349" s="51" t="s">
        <v>2251</v>
      </c>
    </row>
    <row r="350" spans="1:3" x14ac:dyDescent="0.3">
      <c r="A350" s="55" t="s">
        <v>117</v>
      </c>
      <c r="B350" s="51" t="s">
        <v>2252</v>
      </c>
      <c r="C350" s="51" t="s">
        <v>2253</v>
      </c>
    </row>
    <row r="351" spans="1:3" x14ac:dyDescent="0.3">
      <c r="A351" s="55" t="s">
        <v>94</v>
      </c>
      <c r="B351" s="51" t="s">
        <v>2254</v>
      </c>
      <c r="C351" s="51" t="s">
        <v>2255</v>
      </c>
    </row>
    <row r="352" spans="1:3" x14ac:dyDescent="0.3">
      <c r="A352" s="55" t="s">
        <v>108</v>
      </c>
      <c r="B352" s="51" t="s">
        <v>2256</v>
      </c>
      <c r="C352" s="51" t="s">
        <v>2257</v>
      </c>
    </row>
    <row r="353" spans="1:3" x14ac:dyDescent="0.3">
      <c r="A353" s="55" t="s">
        <v>124</v>
      </c>
      <c r="B353" s="51" t="s">
        <v>2258</v>
      </c>
      <c r="C353" s="51" t="s">
        <v>2259</v>
      </c>
    </row>
    <row r="354" spans="1:3" x14ac:dyDescent="0.3">
      <c r="A354" s="55" t="s">
        <v>116</v>
      </c>
      <c r="B354" s="51" t="s">
        <v>2260</v>
      </c>
      <c r="C354" s="51" t="s">
        <v>2261</v>
      </c>
    </row>
    <row r="355" spans="1:3" x14ac:dyDescent="0.3">
      <c r="A355" s="55" t="s">
        <v>114</v>
      </c>
      <c r="B355" s="51" t="s">
        <v>2262</v>
      </c>
      <c r="C355" s="51" t="s">
        <v>2263</v>
      </c>
    </row>
    <row r="356" spans="1:3" x14ac:dyDescent="0.3">
      <c r="A356" s="55" t="s">
        <v>147</v>
      </c>
      <c r="B356" s="51" t="s">
        <v>2264</v>
      </c>
      <c r="C356" s="51" t="s">
        <v>2265</v>
      </c>
    </row>
    <row r="357" spans="1:3" x14ac:dyDescent="0.3">
      <c r="A357" s="55" t="s">
        <v>20</v>
      </c>
      <c r="B357" s="51" t="s">
        <v>2266</v>
      </c>
      <c r="C357" s="51" t="s">
        <v>2267</v>
      </c>
    </row>
    <row r="358" spans="1:3" x14ac:dyDescent="0.3">
      <c r="A358" s="55" t="s">
        <v>546</v>
      </c>
      <c r="B358" s="51" t="s">
        <v>2268</v>
      </c>
      <c r="C358" s="51" t="s">
        <v>2269</v>
      </c>
    </row>
    <row r="359" spans="1:3" x14ac:dyDescent="0.3">
      <c r="A359" s="55" t="s">
        <v>119</v>
      </c>
      <c r="B359" s="51" t="s">
        <v>2270</v>
      </c>
      <c r="C359" s="51" t="s">
        <v>2271</v>
      </c>
    </row>
    <row r="360" spans="1:3" x14ac:dyDescent="0.3">
      <c r="A360" s="55" t="s">
        <v>110</v>
      </c>
      <c r="B360" s="51" t="s">
        <v>2272</v>
      </c>
      <c r="C360" s="51" t="s">
        <v>2273</v>
      </c>
    </row>
    <row r="361" spans="1:3" x14ac:dyDescent="0.3">
      <c r="A361" s="55" t="s">
        <v>453</v>
      </c>
      <c r="B361" s="51" t="s">
        <v>2274</v>
      </c>
      <c r="C361" s="51" t="s">
        <v>2275</v>
      </c>
    </row>
    <row r="362" spans="1:3" x14ac:dyDescent="0.3">
      <c r="A362" s="55" t="s">
        <v>132</v>
      </c>
      <c r="B362" s="51" t="s">
        <v>2276</v>
      </c>
      <c r="C362" s="51" t="s">
        <v>2277</v>
      </c>
    </row>
    <row r="363" spans="1:3" x14ac:dyDescent="0.3">
      <c r="A363" s="55" t="s">
        <v>151</v>
      </c>
      <c r="B363" s="51" t="s">
        <v>2278</v>
      </c>
      <c r="C363" s="51" t="s">
        <v>2279</v>
      </c>
    </row>
    <row r="364" spans="1:3" x14ac:dyDescent="0.3">
      <c r="A364" s="55" t="s">
        <v>165</v>
      </c>
      <c r="B364" s="51" t="s">
        <v>2280</v>
      </c>
      <c r="C364" s="51" t="s">
        <v>2281</v>
      </c>
    </row>
    <row r="365" spans="1:3" x14ac:dyDescent="0.3">
      <c r="A365" s="55" t="s">
        <v>98</v>
      </c>
      <c r="B365" s="51" t="s">
        <v>2282</v>
      </c>
      <c r="C365" s="51" t="s">
        <v>2283</v>
      </c>
    </row>
    <row r="366" spans="1:3" x14ac:dyDescent="0.3">
      <c r="A366" s="55" t="s">
        <v>545</v>
      </c>
      <c r="B366" s="51" t="s">
        <v>2284</v>
      </c>
      <c r="C366" s="51" t="s">
        <v>2285</v>
      </c>
    </row>
    <row r="367" spans="1:3" x14ac:dyDescent="0.3">
      <c r="A367" s="55" t="s">
        <v>131</v>
      </c>
      <c r="B367" s="51" t="s">
        <v>2286</v>
      </c>
      <c r="C367" s="51" t="s">
        <v>2287</v>
      </c>
    </row>
    <row r="368" spans="1:3" x14ac:dyDescent="0.3">
      <c r="A368" s="55" t="s">
        <v>436</v>
      </c>
      <c r="B368" s="51" t="s">
        <v>2288</v>
      </c>
      <c r="C368" s="51" t="s">
        <v>2289</v>
      </c>
    </row>
    <row r="369" spans="1:3" x14ac:dyDescent="0.3">
      <c r="A369" s="55" t="s">
        <v>115</v>
      </c>
      <c r="B369" s="51" t="s">
        <v>2290</v>
      </c>
      <c r="C369" s="51" t="s">
        <v>2291</v>
      </c>
    </row>
    <row r="370" spans="1:3" x14ac:dyDescent="0.3">
      <c r="A370" s="55" t="s">
        <v>149</v>
      </c>
      <c r="B370" s="51" t="s">
        <v>2292</v>
      </c>
      <c r="C370" s="51" t="s">
        <v>2293</v>
      </c>
    </row>
    <row r="371" spans="1:3" x14ac:dyDescent="0.3">
      <c r="A371" s="55" t="s">
        <v>133</v>
      </c>
      <c r="B371" s="51" t="s">
        <v>2294</v>
      </c>
      <c r="C371" s="51" t="s">
        <v>2295</v>
      </c>
    </row>
    <row r="372" spans="1:3" x14ac:dyDescent="0.3">
      <c r="A372" s="55" t="s">
        <v>407</v>
      </c>
      <c r="B372" s="51" t="s">
        <v>2296</v>
      </c>
      <c r="C372" s="51" t="s">
        <v>2297</v>
      </c>
    </row>
    <row r="373" spans="1:3" x14ac:dyDescent="0.3">
      <c r="A373" s="55" t="s">
        <v>99</v>
      </c>
      <c r="B373" s="51" t="s">
        <v>2298</v>
      </c>
      <c r="C373" s="51" t="s">
        <v>2299</v>
      </c>
    </row>
    <row r="374" spans="1:3" x14ac:dyDescent="0.3">
      <c r="A374" s="55" t="s">
        <v>90</v>
      </c>
      <c r="B374" s="51" t="s">
        <v>2300</v>
      </c>
      <c r="C374" s="51" t="s">
        <v>2301</v>
      </c>
    </row>
    <row r="375" spans="1:3" x14ac:dyDescent="0.3">
      <c r="A375" s="55" t="s">
        <v>127</v>
      </c>
      <c r="B375" s="51" t="s">
        <v>2302</v>
      </c>
      <c r="C375" s="51" t="s">
        <v>2303</v>
      </c>
    </row>
    <row r="376" spans="1:3" x14ac:dyDescent="0.3">
      <c r="A376" s="55" t="s">
        <v>109</v>
      </c>
      <c r="B376" s="51" t="s">
        <v>2304</v>
      </c>
      <c r="C376" s="51" t="s">
        <v>2305</v>
      </c>
    </row>
    <row r="377" spans="1:3" x14ac:dyDescent="0.3">
      <c r="A377" s="55" t="s">
        <v>130</v>
      </c>
      <c r="B377" s="51" t="s">
        <v>2306</v>
      </c>
      <c r="C377" s="51" t="s">
        <v>2307</v>
      </c>
    </row>
    <row r="378" spans="1:3" x14ac:dyDescent="0.3">
      <c r="A378" s="55" t="s">
        <v>541</v>
      </c>
      <c r="B378" s="51" t="s">
        <v>2308</v>
      </c>
      <c r="C378" s="51" t="s">
        <v>2309</v>
      </c>
    </row>
    <row r="379" spans="1:3" x14ac:dyDescent="0.3">
      <c r="A379" s="55" t="s">
        <v>91</v>
      </c>
      <c r="B379" s="51" t="s">
        <v>2310</v>
      </c>
      <c r="C379" s="51" t="s">
        <v>2311</v>
      </c>
    </row>
    <row r="380" spans="1:3" x14ac:dyDescent="0.3">
      <c r="A380" s="55" t="s">
        <v>123</v>
      </c>
      <c r="B380" s="51" t="s">
        <v>2312</v>
      </c>
      <c r="C380" s="51" t="s">
        <v>2313</v>
      </c>
    </row>
    <row r="381" spans="1:3" x14ac:dyDescent="0.3">
      <c r="A381" s="55" t="s">
        <v>92</v>
      </c>
      <c r="B381" s="51" t="s">
        <v>2314</v>
      </c>
      <c r="C381" s="51" t="s">
        <v>2315</v>
      </c>
    </row>
    <row r="382" spans="1:3" x14ac:dyDescent="0.3">
      <c r="A382" s="55" t="s">
        <v>521</v>
      </c>
      <c r="B382" s="51" t="s">
        <v>2316</v>
      </c>
      <c r="C382" s="51" t="s">
        <v>2317</v>
      </c>
    </row>
    <row r="383" spans="1:3" x14ac:dyDescent="0.3">
      <c r="A383" s="55" t="s">
        <v>445</v>
      </c>
      <c r="B383" s="51" t="s">
        <v>2318</v>
      </c>
      <c r="C383" s="51" t="s">
        <v>2319</v>
      </c>
    </row>
    <row r="384" spans="1:3" x14ac:dyDescent="0.3">
      <c r="A384" s="55" t="s">
        <v>83</v>
      </c>
      <c r="B384" s="51" t="s">
        <v>2320</v>
      </c>
      <c r="C384" s="51" t="s">
        <v>2321</v>
      </c>
    </row>
    <row r="385" spans="1:3" x14ac:dyDescent="0.3">
      <c r="A385" s="55" t="s">
        <v>481</v>
      </c>
      <c r="B385" s="51" t="s">
        <v>2322</v>
      </c>
      <c r="C385" s="51" t="s">
        <v>2323</v>
      </c>
    </row>
    <row r="386" spans="1:3" x14ac:dyDescent="0.3">
      <c r="A386" s="55" t="s">
        <v>46</v>
      </c>
      <c r="B386" s="51" t="s">
        <v>2324</v>
      </c>
      <c r="C386" s="51" t="s">
        <v>2325</v>
      </c>
    </row>
    <row r="387" spans="1:3" x14ac:dyDescent="0.3">
      <c r="A387" s="55" t="s">
        <v>84</v>
      </c>
      <c r="B387" s="51" t="s">
        <v>2326</v>
      </c>
      <c r="C387" s="51" t="s">
        <v>2327</v>
      </c>
    </row>
    <row r="388" spans="1:3" x14ac:dyDescent="0.3">
      <c r="A388" s="55" t="s">
        <v>447</v>
      </c>
      <c r="B388" s="51" t="s">
        <v>2328</v>
      </c>
      <c r="C388" s="51" t="s">
        <v>2329</v>
      </c>
    </row>
    <row r="389" spans="1:3" x14ac:dyDescent="0.3">
      <c r="A389" s="55" t="s">
        <v>75</v>
      </c>
      <c r="B389" s="51" t="s">
        <v>2330</v>
      </c>
      <c r="C389" s="51" t="s">
        <v>2331</v>
      </c>
    </row>
    <row r="390" spans="1:3" x14ac:dyDescent="0.3">
      <c r="A390" s="55" t="s">
        <v>493</v>
      </c>
      <c r="B390" s="51" t="s">
        <v>2332</v>
      </c>
      <c r="C390" s="51" t="s">
        <v>2333</v>
      </c>
    </row>
    <row r="391" spans="1:3" x14ac:dyDescent="0.3">
      <c r="A391" s="55" t="s">
        <v>511</v>
      </c>
      <c r="B391" s="51" t="s">
        <v>2334</v>
      </c>
      <c r="C391" s="51" t="s">
        <v>2335</v>
      </c>
    </row>
    <row r="392" spans="1:3" x14ac:dyDescent="0.3">
      <c r="A392" s="55" t="s">
        <v>18</v>
      </c>
      <c r="B392" s="51" t="s">
        <v>2336</v>
      </c>
      <c r="C392" s="51" t="s">
        <v>2337</v>
      </c>
    </row>
    <row r="393" spans="1:3" x14ac:dyDescent="0.3">
      <c r="A393" s="55" t="s">
        <v>516</v>
      </c>
      <c r="B393" s="51" t="s">
        <v>2338</v>
      </c>
      <c r="C393" s="51" t="s">
        <v>2339</v>
      </c>
    </row>
    <row r="394" spans="1:3" x14ac:dyDescent="0.3">
      <c r="A394" s="55" t="s">
        <v>470</v>
      </c>
      <c r="B394" s="51" t="s">
        <v>2340</v>
      </c>
      <c r="C394" s="51" t="s">
        <v>2341</v>
      </c>
    </row>
    <row r="395" spans="1:3" x14ac:dyDescent="0.3">
      <c r="A395" s="55" t="s">
        <v>438</v>
      </c>
      <c r="B395" s="51" t="s">
        <v>2342</v>
      </c>
      <c r="C395" s="51" t="s">
        <v>2343</v>
      </c>
    </row>
    <row r="396" spans="1:3" x14ac:dyDescent="0.3">
      <c r="A396" s="55" t="s">
        <v>8</v>
      </c>
      <c r="B396" s="51" t="s">
        <v>2344</v>
      </c>
      <c r="C396" s="51" t="s">
        <v>2345</v>
      </c>
    </row>
    <row r="397" spans="1:3" x14ac:dyDescent="0.3">
      <c r="A397" s="55" t="s">
        <v>498</v>
      </c>
      <c r="B397" s="51" t="s">
        <v>2346</v>
      </c>
      <c r="C397" s="51" t="s">
        <v>2347</v>
      </c>
    </row>
    <row r="398" spans="1:3" x14ac:dyDescent="0.3">
      <c r="A398" s="55" t="s">
        <v>497</v>
      </c>
      <c r="B398" s="51" t="s">
        <v>2348</v>
      </c>
      <c r="C398" s="51" t="s">
        <v>2349</v>
      </c>
    </row>
    <row r="399" spans="1:3" x14ac:dyDescent="0.3">
      <c r="A399" s="55" t="s">
        <v>50</v>
      </c>
      <c r="B399" s="51" t="s">
        <v>2350</v>
      </c>
      <c r="C399" s="51" t="s">
        <v>2351</v>
      </c>
    </row>
    <row r="400" spans="1:3" x14ac:dyDescent="0.3">
      <c r="A400" s="55" t="s">
        <v>24</v>
      </c>
      <c r="B400" s="51" t="s">
        <v>2352</v>
      </c>
      <c r="C400" s="51" t="s">
        <v>2353</v>
      </c>
    </row>
    <row r="401" spans="1:3" x14ac:dyDescent="0.3">
      <c r="A401" s="55" t="s">
        <v>479</v>
      </c>
      <c r="B401" s="51" t="s">
        <v>2354</v>
      </c>
      <c r="C401" s="51" t="s">
        <v>2355</v>
      </c>
    </row>
    <row r="402" spans="1:3" x14ac:dyDescent="0.3">
      <c r="A402" s="55" t="s">
        <v>73</v>
      </c>
      <c r="B402" s="51" t="s">
        <v>2356</v>
      </c>
      <c r="C402" s="51" t="s">
        <v>2357</v>
      </c>
    </row>
    <row r="403" spans="1:3" x14ac:dyDescent="0.3">
      <c r="A403" s="55" t="s">
        <v>473</v>
      </c>
      <c r="B403" s="51" t="s">
        <v>2358</v>
      </c>
      <c r="C403" s="51" t="s">
        <v>2359</v>
      </c>
    </row>
    <row r="404" spans="1:3" x14ac:dyDescent="0.3">
      <c r="A404" s="55" t="s">
        <v>471</v>
      </c>
      <c r="B404" s="51" t="s">
        <v>2360</v>
      </c>
      <c r="C404" s="51" t="s">
        <v>2361</v>
      </c>
    </row>
    <row r="405" spans="1:3" x14ac:dyDescent="0.3">
      <c r="A405" s="55" t="s">
        <v>495</v>
      </c>
      <c r="B405" s="51" t="s">
        <v>2362</v>
      </c>
      <c r="C405" s="51" t="s">
        <v>2363</v>
      </c>
    </row>
    <row r="406" spans="1:3" x14ac:dyDescent="0.3">
      <c r="A406" s="55" t="s">
        <v>524</v>
      </c>
      <c r="B406" s="51" t="s">
        <v>2364</v>
      </c>
      <c r="C406" s="51" t="s">
        <v>2365</v>
      </c>
    </row>
    <row r="407" spans="1:3" x14ac:dyDescent="0.3">
      <c r="A407" s="55" t="s">
        <v>502</v>
      </c>
      <c r="B407" s="51" t="s">
        <v>2366</v>
      </c>
      <c r="C407" s="51" t="s">
        <v>2367</v>
      </c>
    </row>
    <row r="408" spans="1:3" x14ac:dyDescent="0.3">
      <c r="A408" s="55" t="s">
        <v>491</v>
      </c>
      <c r="B408" s="51" t="s">
        <v>2368</v>
      </c>
      <c r="C408" s="51" t="s">
        <v>2369</v>
      </c>
    </row>
    <row r="409" spans="1:3" x14ac:dyDescent="0.3">
      <c r="A409" s="55" t="s">
        <v>520</v>
      </c>
      <c r="B409" s="51" t="s">
        <v>2370</v>
      </c>
      <c r="C409" s="51" t="s">
        <v>2371</v>
      </c>
    </row>
    <row r="410" spans="1:3" x14ac:dyDescent="0.3">
      <c r="A410" s="55" t="s">
        <v>455</v>
      </c>
      <c r="B410" s="51" t="s">
        <v>2372</v>
      </c>
      <c r="C410" s="51" t="s">
        <v>2373</v>
      </c>
    </row>
    <row r="411" spans="1:3" x14ac:dyDescent="0.3">
      <c r="A411" s="55" t="s">
        <v>499</v>
      </c>
      <c r="B411" s="51" t="s">
        <v>2374</v>
      </c>
      <c r="C411" s="51" t="s">
        <v>2375</v>
      </c>
    </row>
    <row r="412" spans="1:3" x14ac:dyDescent="0.3">
      <c r="A412" s="55" t="s">
        <v>507</v>
      </c>
      <c r="B412" s="51" t="s">
        <v>2376</v>
      </c>
      <c r="C412" s="51" t="s">
        <v>2377</v>
      </c>
    </row>
    <row r="413" spans="1:3" x14ac:dyDescent="0.3">
      <c r="A413" s="55" t="s">
        <v>504</v>
      </c>
      <c r="B413" s="51" t="s">
        <v>2378</v>
      </c>
      <c r="C413" s="51" t="s">
        <v>2379</v>
      </c>
    </row>
    <row r="414" spans="1:3" x14ac:dyDescent="0.3">
      <c r="A414" s="55" t="s">
        <v>486</v>
      </c>
      <c r="B414" s="51" t="s">
        <v>2380</v>
      </c>
      <c r="C414" s="51" t="s">
        <v>2381</v>
      </c>
    </row>
    <row r="415" spans="1:3" x14ac:dyDescent="0.3">
      <c r="A415" s="55" t="s">
        <v>164</v>
      </c>
      <c r="B415" s="51" t="s">
        <v>2382</v>
      </c>
      <c r="C415" s="51" t="s">
        <v>2383</v>
      </c>
    </row>
    <row r="416" spans="1:3" x14ac:dyDescent="0.3">
      <c r="A416" s="55" t="s">
        <v>496</v>
      </c>
      <c r="B416" s="51" t="s">
        <v>2384</v>
      </c>
      <c r="C416" s="51" t="s">
        <v>2385</v>
      </c>
    </row>
    <row r="417" spans="1:3" x14ac:dyDescent="0.3">
      <c r="A417" s="55" t="s">
        <v>510</v>
      </c>
      <c r="B417" s="51" t="s">
        <v>2386</v>
      </c>
      <c r="C417" s="51" t="s">
        <v>2387</v>
      </c>
    </row>
    <row r="418" spans="1:3" x14ac:dyDescent="0.3">
      <c r="A418" s="55" t="s">
        <v>71</v>
      </c>
      <c r="B418" s="51" t="s">
        <v>2388</v>
      </c>
      <c r="C418" s="51" t="s">
        <v>2389</v>
      </c>
    </row>
    <row r="419" spans="1:3" x14ac:dyDescent="0.3">
      <c r="A419" s="55" t="s">
        <v>69</v>
      </c>
      <c r="B419" s="51" t="s">
        <v>2390</v>
      </c>
      <c r="C419" s="51" t="s">
        <v>2391</v>
      </c>
    </row>
    <row r="420" spans="1:3" x14ac:dyDescent="0.3">
      <c r="A420" s="55" t="s">
        <v>483</v>
      </c>
      <c r="B420" s="51" t="s">
        <v>2392</v>
      </c>
      <c r="C420" s="51" t="s">
        <v>2393</v>
      </c>
    </row>
    <row r="421" spans="1:3" x14ac:dyDescent="0.3">
      <c r="A421" s="55" t="s">
        <v>77</v>
      </c>
      <c r="B421" s="51" t="s">
        <v>2394</v>
      </c>
      <c r="C421" s="51" t="s">
        <v>2395</v>
      </c>
    </row>
    <row r="422" spans="1:3" x14ac:dyDescent="0.3">
      <c r="A422" s="55" t="s">
        <v>42</v>
      </c>
      <c r="B422" s="51" t="s">
        <v>2396</v>
      </c>
      <c r="C422" s="51" t="s">
        <v>2397</v>
      </c>
    </row>
    <row r="423" spans="1:3" x14ac:dyDescent="0.3">
      <c r="A423" s="55" t="s">
        <v>38</v>
      </c>
      <c r="B423" s="51" t="s">
        <v>2398</v>
      </c>
      <c r="C423" s="51" t="s">
        <v>2399</v>
      </c>
    </row>
    <row r="424" spans="1:3" x14ac:dyDescent="0.3">
      <c r="A424" s="55" t="s">
        <v>469</v>
      </c>
      <c r="B424" s="51" t="s">
        <v>2400</v>
      </c>
      <c r="C424" s="51" t="s">
        <v>2401</v>
      </c>
    </row>
    <row r="425" spans="1:3" x14ac:dyDescent="0.3">
      <c r="A425" s="55" t="s">
        <v>87</v>
      </c>
      <c r="B425" s="51" t="s">
        <v>2402</v>
      </c>
      <c r="C425" s="51" t="s">
        <v>2403</v>
      </c>
    </row>
    <row r="426" spans="1:3" x14ac:dyDescent="0.3">
      <c r="A426" s="55" t="s">
        <v>451</v>
      </c>
      <c r="B426" s="51" t="s">
        <v>2404</v>
      </c>
      <c r="C426" s="51" t="s">
        <v>2405</v>
      </c>
    </row>
    <row r="427" spans="1:3" x14ac:dyDescent="0.3">
      <c r="A427" s="55" t="s">
        <v>79</v>
      </c>
      <c r="B427" s="51" t="s">
        <v>2406</v>
      </c>
      <c r="C427" s="51" t="s">
        <v>2407</v>
      </c>
    </row>
    <row r="428" spans="1:3" x14ac:dyDescent="0.3">
      <c r="A428" s="55" t="s">
        <v>36</v>
      </c>
      <c r="B428" s="51" t="s">
        <v>2408</v>
      </c>
      <c r="C428" s="51" t="s">
        <v>2409</v>
      </c>
    </row>
    <row r="429" spans="1:3" x14ac:dyDescent="0.3">
      <c r="A429" s="55" t="s">
        <v>459</v>
      </c>
      <c r="B429" s="51" t="s">
        <v>2410</v>
      </c>
      <c r="C429" s="51" t="s">
        <v>2411</v>
      </c>
    </row>
    <row r="430" spans="1:3" x14ac:dyDescent="0.3">
      <c r="A430" s="55" t="s">
        <v>67</v>
      </c>
      <c r="B430" s="51" t="s">
        <v>2412</v>
      </c>
      <c r="C430" s="51" t="s">
        <v>2413</v>
      </c>
    </row>
    <row r="431" spans="1:3" x14ac:dyDescent="0.3">
      <c r="A431" s="55" t="s">
        <v>30</v>
      </c>
      <c r="B431" s="51" t="s">
        <v>2414</v>
      </c>
      <c r="C431" s="51" t="s">
        <v>2415</v>
      </c>
    </row>
    <row r="432" spans="1:3" x14ac:dyDescent="0.3">
      <c r="A432" s="55" t="s">
        <v>522</v>
      </c>
      <c r="B432" s="51" t="s">
        <v>2416</v>
      </c>
      <c r="C432" s="51" t="s">
        <v>2417</v>
      </c>
    </row>
    <row r="433" spans="1:3" x14ac:dyDescent="0.3">
      <c r="A433" s="55" t="s">
        <v>490</v>
      </c>
      <c r="B433" s="51" t="s">
        <v>2418</v>
      </c>
      <c r="C433" s="51" t="s">
        <v>2419</v>
      </c>
    </row>
    <row r="434" spans="1:3" x14ac:dyDescent="0.3">
      <c r="A434" s="55" t="s">
        <v>477</v>
      </c>
      <c r="B434" s="51" t="s">
        <v>2420</v>
      </c>
      <c r="C434" s="51" t="s">
        <v>2421</v>
      </c>
    </row>
    <row r="435" spans="1:3" x14ac:dyDescent="0.3">
      <c r="A435" s="55" t="s">
        <v>519</v>
      </c>
      <c r="B435" s="51" t="s">
        <v>2422</v>
      </c>
      <c r="C435" s="51" t="s">
        <v>2423</v>
      </c>
    </row>
    <row r="436" spans="1:3" x14ac:dyDescent="0.3">
      <c r="A436" s="55" t="s">
        <v>478</v>
      </c>
      <c r="B436" s="51" t="s">
        <v>2424</v>
      </c>
      <c r="C436" s="51" t="s">
        <v>2425</v>
      </c>
    </row>
    <row r="437" spans="1:3" x14ac:dyDescent="0.3">
      <c r="A437" s="55" t="s">
        <v>494</v>
      </c>
      <c r="B437" s="51" t="s">
        <v>2426</v>
      </c>
      <c r="C437" s="51" t="s">
        <v>2427</v>
      </c>
    </row>
    <row r="438" spans="1:3" x14ac:dyDescent="0.3">
      <c r="A438" s="55" t="s">
        <v>48</v>
      </c>
      <c r="B438" s="51" t="s">
        <v>2428</v>
      </c>
      <c r="C438" s="51" t="s">
        <v>2429</v>
      </c>
    </row>
    <row r="439" spans="1:3" x14ac:dyDescent="0.3">
      <c r="A439" s="55" t="s">
        <v>32</v>
      </c>
      <c r="B439" s="51" t="s">
        <v>2430</v>
      </c>
      <c r="C439" s="51" t="s">
        <v>2431</v>
      </c>
    </row>
    <row r="440" spans="1:3" x14ac:dyDescent="0.3">
      <c r="A440" s="55" t="s">
        <v>487</v>
      </c>
      <c r="B440" s="51" t="s">
        <v>2432</v>
      </c>
      <c r="C440" s="51" t="s">
        <v>2433</v>
      </c>
    </row>
    <row r="441" spans="1:3" x14ac:dyDescent="0.3">
      <c r="A441" s="55" t="s">
        <v>485</v>
      </c>
      <c r="B441" s="51" t="s">
        <v>2434</v>
      </c>
      <c r="C441" s="51" t="s">
        <v>2435</v>
      </c>
    </row>
    <row r="442" spans="1:3" x14ac:dyDescent="0.3">
      <c r="A442" s="55" t="s">
        <v>472</v>
      </c>
      <c r="B442" s="51" t="s">
        <v>2436</v>
      </c>
      <c r="C442" s="51" t="s">
        <v>2437</v>
      </c>
    </row>
    <row r="443" spans="1:3" x14ac:dyDescent="0.3">
      <c r="A443" s="55" t="s">
        <v>65</v>
      </c>
      <c r="B443" s="51" t="s">
        <v>2438</v>
      </c>
      <c r="C443" s="51" t="s">
        <v>2439</v>
      </c>
    </row>
    <row r="444" spans="1:3" x14ac:dyDescent="0.3">
      <c r="A444" s="55" t="s">
        <v>54</v>
      </c>
      <c r="B444" s="51" t="s">
        <v>2440</v>
      </c>
      <c r="C444" s="51" t="s">
        <v>2441</v>
      </c>
    </row>
    <row r="445" spans="1:3" x14ac:dyDescent="0.3">
      <c r="A445" s="55" t="s">
        <v>62</v>
      </c>
      <c r="B445" s="51" t="s">
        <v>2442</v>
      </c>
      <c r="C445" s="51" t="s">
        <v>2443</v>
      </c>
    </row>
    <row r="446" spans="1:3" x14ac:dyDescent="0.3">
      <c r="A446" s="55" t="s">
        <v>52</v>
      </c>
      <c r="B446" s="51" t="s">
        <v>2444</v>
      </c>
      <c r="C446" s="51" t="s">
        <v>2445</v>
      </c>
    </row>
    <row r="447" spans="1:3" x14ac:dyDescent="0.3">
      <c r="A447" s="55" t="s">
        <v>58</v>
      </c>
      <c r="B447" s="51" t="s">
        <v>2446</v>
      </c>
      <c r="C447" s="51" t="s">
        <v>2447</v>
      </c>
    </row>
    <row r="448" spans="1:3" x14ac:dyDescent="0.3">
      <c r="A448" s="55" t="s">
        <v>489</v>
      </c>
      <c r="B448" s="51" t="s">
        <v>2448</v>
      </c>
      <c r="C448" s="51" t="s">
        <v>2449</v>
      </c>
    </row>
    <row r="449" spans="1:3" x14ac:dyDescent="0.3">
      <c r="A449" s="55" t="s">
        <v>492</v>
      </c>
      <c r="B449" s="51" t="s">
        <v>2450</v>
      </c>
      <c r="C449" s="51" t="s">
        <v>2451</v>
      </c>
    </row>
    <row r="450" spans="1:3" x14ac:dyDescent="0.3">
      <c r="A450" s="55" t="s">
        <v>60</v>
      </c>
      <c r="B450" s="51" t="s">
        <v>2452</v>
      </c>
      <c r="C450" s="51" t="s">
        <v>2453</v>
      </c>
    </row>
    <row r="451" spans="1:3" x14ac:dyDescent="0.3">
      <c r="A451" s="55" t="s">
        <v>514</v>
      </c>
      <c r="B451" s="51" t="s">
        <v>2454</v>
      </c>
      <c r="C451" s="51" t="s">
        <v>2455</v>
      </c>
    </row>
    <row r="452" spans="1:3" x14ac:dyDescent="0.3">
      <c r="A452" s="55" t="s">
        <v>56</v>
      </c>
      <c r="B452" s="51" t="s">
        <v>2456</v>
      </c>
      <c r="C452" s="51" t="s">
        <v>2457</v>
      </c>
    </row>
    <row r="453" spans="1:3" x14ac:dyDescent="0.3">
      <c r="A453" s="55" t="s">
        <v>508</v>
      </c>
      <c r="B453" s="51" t="s">
        <v>2458</v>
      </c>
      <c r="C453" s="51" t="s">
        <v>2459</v>
      </c>
    </row>
    <row r="454" spans="1:3" x14ac:dyDescent="0.3">
      <c r="A454" s="55" t="s">
        <v>432</v>
      </c>
      <c r="B454" s="51" t="s">
        <v>2460</v>
      </c>
      <c r="C454" s="51" t="s">
        <v>2461</v>
      </c>
    </row>
    <row r="455" spans="1:3" x14ac:dyDescent="0.3">
      <c r="A455" s="55" t="s">
        <v>512</v>
      </c>
      <c r="B455" s="51" t="s">
        <v>2462</v>
      </c>
      <c r="C455" s="51" t="s">
        <v>2463</v>
      </c>
    </row>
    <row r="456" spans="1:3" x14ac:dyDescent="0.3">
      <c r="A456" s="55" t="s">
        <v>81</v>
      </c>
      <c r="B456" s="51" t="s">
        <v>2464</v>
      </c>
      <c r="C456" s="51" t="s">
        <v>2465</v>
      </c>
    </row>
    <row r="457" spans="1:3" x14ac:dyDescent="0.3">
      <c r="A457" s="55" t="s">
        <v>40</v>
      </c>
      <c r="B457" s="51" t="s">
        <v>2466</v>
      </c>
      <c r="C457" s="51" t="s">
        <v>2467</v>
      </c>
    </row>
    <row r="458" spans="1:3" x14ac:dyDescent="0.3">
      <c r="A458" s="55" t="s">
        <v>434</v>
      </c>
      <c r="B458" s="51" t="s">
        <v>2468</v>
      </c>
      <c r="C458" s="51" t="s">
        <v>2469</v>
      </c>
    </row>
    <row r="459" spans="1:3" x14ac:dyDescent="0.3">
      <c r="A459" s="55" t="s">
        <v>515</v>
      </c>
      <c r="B459" s="51" t="s">
        <v>2470</v>
      </c>
      <c r="C459" s="51" t="s">
        <v>2471</v>
      </c>
    </row>
    <row r="460" spans="1:3" x14ac:dyDescent="0.3">
      <c r="A460" s="55" t="s">
        <v>526</v>
      </c>
      <c r="B460" s="51" t="s">
        <v>2472</v>
      </c>
      <c r="C460" s="51" t="s">
        <v>2473</v>
      </c>
    </row>
    <row r="461" spans="1:3" x14ac:dyDescent="0.3">
      <c r="A461" s="55" t="s">
        <v>2474</v>
      </c>
      <c r="B461" s="51" t="s">
        <v>2475</v>
      </c>
      <c r="C461" s="51" t="s">
        <v>2476</v>
      </c>
    </row>
    <row r="462" spans="1:3" x14ac:dyDescent="0.3">
      <c r="A462" s="55" t="s">
        <v>1532</v>
      </c>
      <c r="B462" s="51" t="s">
        <v>2477</v>
      </c>
      <c r="C462" s="51" t="s">
        <v>2478</v>
      </c>
    </row>
    <row r="463" spans="1:3" x14ac:dyDescent="0.3">
      <c r="A463" s="55" t="s">
        <v>2479</v>
      </c>
      <c r="B463" s="51" t="s">
        <v>2480</v>
      </c>
      <c r="C463" s="51" t="s">
        <v>2481</v>
      </c>
    </row>
    <row r="464" spans="1:3" x14ac:dyDescent="0.3">
      <c r="A464" s="55" t="s">
        <v>1534</v>
      </c>
      <c r="B464" s="51" t="s">
        <v>2482</v>
      </c>
      <c r="C464" s="51" t="s">
        <v>2483</v>
      </c>
    </row>
    <row r="465" spans="1:3" x14ac:dyDescent="0.3">
      <c r="A465" s="55" t="s">
        <v>2484</v>
      </c>
      <c r="B465" s="51" t="s">
        <v>2485</v>
      </c>
      <c r="C465" s="51" t="s">
        <v>2486</v>
      </c>
    </row>
    <row r="466" spans="1:3" x14ac:dyDescent="0.3">
      <c r="A466" s="55" t="s">
        <v>2487</v>
      </c>
      <c r="B466" s="51" t="s">
        <v>2488</v>
      </c>
      <c r="C466" s="51" t="s">
        <v>2489</v>
      </c>
    </row>
    <row r="467" spans="1:3" x14ac:dyDescent="0.3">
      <c r="A467" s="55" t="s">
        <v>1543</v>
      </c>
      <c r="B467" s="51" t="s">
        <v>2490</v>
      </c>
      <c r="C467" s="51" t="s">
        <v>2491</v>
      </c>
    </row>
    <row r="468" spans="1:3" x14ac:dyDescent="0.3">
      <c r="A468" s="55" t="s">
        <v>2492</v>
      </c>
      <c r="B468" s="51" t="s">
        <v>2493</v>
      </c>
      <c r="C468" s="51" t="s">
        <v>2494</v>
      </c>
    </row>
    <row r="469" spans="1:3" x14ac:dyDescent="0.3">
      <c r="A469" s="55" t="s">
        <v>2495</v>
      </c>
      <c r="B469" s="51" t="s">
        <v>2496</v>
      </c>
      <c r="C469" s="51" t="s">
        <v>2497</v>
      </c>
    </row>
    <row r="470" spans="1:3" x14ac:dyDescent="0.3">
      <c r="A470" s="55" t="s">
        <v>319</v>
      </c>
      <c r="B470" s="51" t="s">
        <v>2498</v>
      </c>
      <c r="C470" s="51" t="s">
        <v>2499</v>
      </c>
    </row>
    <row r="471" spans="1:3" x14ac:dyDescent="0.3">
      <c r="A471" s="55" t="s">
        <v>303</v>
      </c>
      <c r="B471" s="51" t="s">
        <v>2500</v>
      </c>
      <c r="C471" s="51" t="s">
        <v>2501</v>
      </c>
    </row>
    <row r="472" spans="1:3" x14ac:dyDescent="0.3">
      <c r="A472" s="55" t="s">
        <v>272</v>
      </c>
      <c r="B472" s="51" t="s">
        <v>2502</v>
      </c>
      <c r="C472" s="51" t="s">
        <v>2503</v>
      </c>
    </row>
    <row r="473" spans="1:3" x14ac:dyDescent="0.3">
      <c r="A473" s="55" t="s">
        <v>270</v>
      </c>
      <c r="B473" s="51" t="s">
        <v>2504</v>
      </c>
      <c r="C473" s="51" t="s">
        <v>2505</v>
      </c>
    </row>
    <row r="474" spans="1:3" x14ac:dyDescent="0.3">
      <c r="A474" s="55" t="s">
        <v>268</v>
      </c>
      <c r="B474" s="51" t="s">
        <v>2506</v>
      </c>
      <c r="C474" s="51" t="s">
        <v>2507</v>
      </c>
    </row>
    <row r="475" spans="1:3" x14ac:dyDescent="0.3">
      <c r="A475" s="55" t="s">
        <v>316</v>
      </c>
      <c r="B475" s="51" t="s">
        <v>2508</v>
      </c>
      <c r="C475" s="51" t="s">
        <v>2509</v>
      </c>
    </row>
    <row r="476" spans="1:3" x14ac:dyDescent="0.3">
      <c r="A476" s="55" t="s">
        <v>539</v>
      </c>
      <c r="B476" s="51" t="s">
        <v>2510</v>
      </c>
      <c r="C476" s="51" t="s">
        <v>2511</v>
      </c>
    </row>
    <row r="477" spans="1:3" x14ac:dyDescent="0.3">
      <c r="A477" s="55" t="s">
        <v>538</v>
      </c>
      <c r="B477" s="51" t="s">
        <v>2512</v>
      </c>
      <c r="C477" s="51" t="s">
        <v>2513</v>
      </c>
    </row>
    <row r="478" spans="1:3" x14ac:dyDescent="0.3">
      <c r="A478" s="55" t="s">
        <v>537</v>
      </c>
      <c r="B478" s="51" t="s">
        <v>2514</v>
      </c>
      <c r="C478" s="51" t="s">
        <v>2515</v>
      </c>
    </row>
    <row r="479" spans="1:3" x14ac:dyDescent="0.3">
      <c r="A479" s="55" t="s">
        <v>15</v>
      </c>
      <c r="B479" s="51" t="s">
        <v>2516</v>
      </c>
      <c r="C479" s="51" t="s">
        <v>2517</v>
      </c>
    </row>
    <row r="480" spans="1:3" x14ac:dyDescent="0.3">
      <c r="A480" s="55" t="s">
        <v>536</v>
      </c>
      <c r="B480" s="51" t="s">
        <v>2518</v>
      </c>
      <c r="C480" s="51" t="s">
        <v>2519</v>
      </c>
    </row>
    <row r="481" spans="1:3" x14ac:dyDescent="0.3">
      <c r="A481" s="55" t="s">
        <v>13</v>
      </c>
      <c r="B481" s="51" t="s">
        <v>2520</v>
      </c>
      <c r="C481" s="51" t="s">
        <v>2521</v>
      </c>
    </row>
    <row r="482" spans="1:3" x14ac:dyDescent="0.3">
      <c r="A482" s="55" t="s">
        <v>535</v>
      </c>
      <c r="B482" s="51" t="s">
        <v>2522</v>
      </c>
      <c r="C482" s="51" t="s">
        <v>2523</v>
      </c>
    </row>
    <row r="483" spans="1:3" x14ac:dyDescent="0.3">
      <c r="A483" s="55" t="s">
        <v>534</v>
      </c>
      <c r="B483" s="51" t="s">
        <v>2524</v>
      </c>
      <c r="C483" s="51" t="s">
        <v>2525</v>
      </c>
    </row>
    <row r="484" spans="1:3" x14ac:dyDescent="0.3">
      <c r="A484" s="55" t="s">
        <v>22</v>
      </c>
      <c r="B484" s="51" t="s">
        <v>2526</v>
      </c>
      <c r="C484" s="51" t="s">
        <v>2527</v>
      </c>
    </row>
    <row r="485" spans="1:3" x14ac:dyDescent="0.3">
      <c r="A485" s="55" t="s">
        <v>6</v>
      </c>
      <c r="B485" s="51" t="s">
        <v>2528</v>
      </c>
      <c r="C485" s="51" t="s">
        <v>2529</v>
      </c>
    </row>
    <row r="486" spans="1:3" x14ac:dyDescent="0.3">
      <c r="A486" s="55" t="s">
        <v>88</v>
      </c>
      <c r="B486" s="51" t="s">
        <v>2530</v>
      </c>
      <c r="C486" s="51" t="s">
        <v>2531</v>
      </c>
    </row>
    <row r="487" spans="1:3" x14ac:dyDescent="0.3">
      <c r="A487" s="55" t="s">
        <v>11</v>
      </c>
      <c r="B487" s="51" t="s">
        <v>2532</v>
      </c>
      <c r="C487" s="51" t="s">
        <v>2533</v>
      </c>
    </row>
    <row r="488" spans="1:3" x14ac:dyDescent="0.3">
      <c r="A488" s="55" t="s">
        <v>533</v>
      </c>
      <c r="B488" s="51" t="s">
        <v>2534</v>
      </c>
      <c r="C488" s="51" t="s">
        <v>2535</v>
      </c>
    </row>
    <row r="489" spans="1:3" x14ac:dyDescent="0.3">
      <c r="A489" s="55" t="s">
        <v>9</v>
      </c>
      <c r="B489" s="51" t="s">
        <v>2536</v>
      </c>
      <c r="C489" s="51" t="s">
        <v>2537</v>
      </c>
    </row>
    <row r="490" spans="1:3" x14ac:dyDescent="0.3">
      <c r="A490" s="55" t="s">
        <v>531</v>
      </c>
      <c r="B490" s="51" t="s">
        <v>2538</v>
      </c>
      <c r="C490" s="51" t="s">
        <v>2539</v>
      </c>
    </row>
    <row r="491" spans="1:3" x14ac:dyDescent="0.3">
      <c r="A491" s="55" t="s">
        <v>530</v>
      </c>
      <c r="B491" s="51" t="s">
        <v>2540</v>
      </c>
      <c r="C491" s="51" t="s">
        <v>2541</v>
      </c>
    </row>
    <row r="492" spans="1:3" x14ac:dyDescent="0.3">
      <c r="A492" s="55" t="s">
        <v>449</v>
      </c>
      <c r="B492" s="51" t="s">
        <v>2542</v>
      </c>
      <c r="C492" s="51" t="s">
        <v>2543</v>
      </c>
    </row>
    <row r="493" spans="1:3" x14ac:dyDescent="0.3">
      <c r="A493" s="55" t="s">
        <v>443</v>
      </c>
      <c r="B493" s="51" t="s">
        <v>2544</v>
      </c>
      <c r="C493" s="51" t="s">
        <v>2545</v>
      </c>
    </row>
    <row r="494" spans="1:3" x14ac:dyDescent="0.3">
      <c r="A494" s="55" t="s">
        <v>34</v>
      </c>
      <c r="B494" s="51" t="s">
        <v>2546</v>
      </c>
      <c r="C494" s="51" t="s">
        <v>2547</v>
      </c>
    </row>
    <row r="495" spans="1:3" x14ac:dyDescent="0.3">
      <c r="A495" s="55" t="s">
        <v>528</v>
      </c>
      <c r="B495" s="51" t="s">
        <v>2548</v>
      </c>
      <c r="C495" s="51" t="s">
        <v>2549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Level 1</vt:lpstr>
      <vt:lpstr>Level 2B</vt:lpstr>
      <vt:lpstr>Level 2A</vt:lpstr>
      <vt:lpstr>Level 3</vt:lpstr>
      <vt:lpstr>Level 4</vt:lpstr>
      <vt:lpstr>Level 5B</vt:lpstr>
      <vt:lpstr>Level 6B</vt:lpstr>
      <vt:lpstr>Level 7A</vt:lpstr>
      <vt:lpstr>Level 7B</vt:lpstr>
      <vt:lpstr>Level 8</vt:lpstr>
      <vt:lpstr>Transcript Level 8</vt:lpstr>
      <vt:lpstr>Data</vt:lpstr>
      <vt:lpstr>Students</vt:lpstr>
      <vt:lpstr>Sheet1</vt:lpstr>
      <vt:lpstr>Summary</vt:lpstr>
      <vt:lpstr>Emails</vt:lpstr>
      <vt:lpstr>'Level 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Saeed FakhriRavari</dc:creator>
  <cp:lastModifiedBy>Daner Ferhadi</cp:lastModifiedBy>
  <cp:lastPrinted>2021-12-01T13:19:45Z</cp:lastPrinted>
  <dcterms:created xsi:type="dcterms:W3CDTF">2015-11-08T13:39:42Z</dcterms:created>
  <dcterms:modified xsi:type="dcterms:W3CDTF">2021-12-01T13:21:02Z</dcterms:modified>
</cp:coreProperties>
</file>